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Bilgi" sheetId="1" state="visible" r:id="rId3"/>
    <sheet name="Eşleştirme" sheetId="2" state="visible" r:id="rId4"/>
    <sheet name="QAR Kodları" sheetId="3" state="visible" r:id="rId5"/>
  </sheets>
  <definedNames>
    <definedName function="false" hidden="true" localSheetId="1" name="_xlnm._FilterDatabase" vbProcedure="false">Eşleştirme!$A$1:$H$282</definedName>
    <definedName function="false" hidden="true" localSheetId="2" name="_xlnm._FilterDatabase" vbProcedure="false">'QAR Kodları'!$A$1:$C$86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<sst xmlns="http://schemas.openxmlformats.org/spreadsheetml/2006/main" count="1582" uniqueCount="616">
  <si>
    <t xml:space="preserve">Amaç</t>
  </si>
  <si>
    <t xml:space="preserve">TCMB döviz çıkış istatistik kodlarının (kaynak: İstatistik Kod Bazlı Kategori sayfası, F sütunu) Katar Merkez Bankası Purpose of Payment (PoP) kodları ile eşleştirilmesi.</t>
  </si>
  <si>
    <t xml:space="preserve">Yön mantığı</t>
  </si>
  <si>
    <t xml:space="preserve">İstatistik kodları Türkiye'den yurt dışına ÇIKIŞ işlemleridir. Ödeme Katar'a gittiğinde Katar tarafında GELEN ödeme olur; bu yüzden QAR listesindeki 'A' (receipt/inward) kodları ile eşleştirilmiştir. Örn: ithalat ödemesi (TR) → ihracat tahsilatı (QAR).</t>
  </si>
  <si>
    <t xml:space="preserve">Eşleştirme formatı</t>
  </si>
  <si>
    <t xml:space="preserve">İstatistikKodu-QARKodu (örn. 5807-A2J02). A sütunu formülle üretilir; D sütunundaki QAR kodu değiştirilirse A ve E sütunları otomatik güncellenir (D sütununda açılır liste vardır).</t>
  </si>
  <si>
    <t xml:space="preserve">Eşleşme Derecesi</t>
  </si>
  <si>
    <t xml:space="preserve">Tam: anlam birebir örtüşüyor.  Yakın: ana amaç örtüşüyor, kapsam/taraf farkı var.  Genel / En yakın: QAR listesinde karşılığı yok, en uygun genel kod seçildi — operasyon/uyum ekibi teyit etmeli.</t>
  </si>
  <si>
    <t xml:space="preserve">Mükerrer kodlar</t>
  </si>
  <si>
    <t xml:space="preserve">Kaynakta birden fazla kategoride geçen kodlar (örn. 5446, 5447, 7500) tek satırda birleştirildi; tüm kategoriler H sütununda listelenmiştir.</t>
  </si>
  <si>
    <t xml:space="preserve">Kapsam</t>
  </si>
  <si>
    <t xml:space="preserve">281 benzersiz istatistik kodu, 85 QAR PoP kodu. Aynı QAR kodu birden fazla istatistik koduna karşılık gelebilir ('QAR Kodları' sayfasında sayısı görülebilir).</t>
  </si>
  <si>
    <t xml:space="preserve">Uyarı</t>
  </si>
  <si>
    <t xml:space="preserve">Eşleştirme, açıklama metinlerine göre yapılmış bir öneridir. Katar'daki muhabir/alıcı bankanın kendi kural setiyle canlı kullanım öncesi teyit edilmesi önerilir.</t>
  </si>
  <si>
    <t xml:space="preserve">Eşleştirme
(İst. Kodu-QAR)</t>
  </si>
  <si>
    <t xml:space="preserve">İstatistik Kodu</t>
  </si>
  <si>
    <t xml:space="preserve">İstatistik Kod Açıklaması (TR)</t>
  </si>
  <si>
    <t xml:space="preserve">QAR PoP Kodu</t>
  </si>
  <si>
    <t xml:space="preserve">QAR Purpose of Payment Narration (EN)</t>
  </si>
  <si>
    <t xml:space="preserve">Not / Gerekçe</t>
  </si>
  <si>
    <t xml:space="preserve">TCMB Ödeme Kategorisi</t>
  </si>
  <si>
    <t xml:space="preserve">Yurtiçinde yerleşik kişilere ait deniz, hava ve kara taşıtlarına yurt limanlarda sağlanan yakıt ve kumanya bedeli (Deniz taşıtlarına ilişkin olarak, bir gemi işletmecisinin birçok farklı ülkede kayıtlı gemisi bulunabilmektedir. Gemi işletmecilerinin yerleşikliğinin tespit edilmesinde, gemilerdeki elverişli bayrak - gemi sahibinin gemisine kendi ülkesinin bayrağı yerine çeşitli kolaylıklar gösteren bir başka devletin bayrağını çekmesi - kullanılmamalıdır. Yerleşiklik için gemicilik faaliyetini yürüten işletmenin bulunduğu ülke esas alınmalıdır.)</t>
  </si>
  <si>
    <t xml:space="preserve">A1A01</t>
  </si>
  <si>
    <t xml:space="preserve">Genel / En yakın</t>
  </si>
  <si>
    <t xml:space="preserve">Limanlarda sağlanan yakıt/kumanya (mal niteliğinde).</t>
  </si>
  <si>
    <t xml:space="preserve">30) Taşımacılık ve lojistik hizmetleri</t>
  </si>
  <si>
    <t xml:space="preserve">Leasing kontratına bağlı olarak ödenen ithalat mal F.O.B. bedeli (Navlun ve sigorta hariç)</t>
  </si>
  <si>
    <t xml:space="preserve">Yakın</t>
  </si>
  <si>
    <t xml:space="preserve">Leasing'e bağlı ithalat mal bedeli.</t>
  </si>
  <si>
    <t xml:space="preserve">9) İthalat/İhracat Ödemesi İşlemleri (Gümrük Komisyonları Dahil)</t>
  </si>
  <si>
    <t xml:space="preserve">1996 yıl başından itibaren başlayan, Kabul Kredili Mal Mukabili ve Mal Mukabili İthalat işlemleri nedeniyle yapılan FOB ithalat ödemeleri (Navlun ve sigorta hariç)</t>
  </si>
  <si>
    <t xml:space="preserve">A1A02</t>
  </si>
  <si>
    <t xml:space="preserve">Tam</t>
  </si>
  <si>
    <t xml:space="preserve">Mal mukabili / vesaik mukabili tahsil.</t>
  </si>
  <si>
    <t xml:space="preserve">9) İthalat/İhracat Ödemesi İşlemleri (Gümrük Komisyonları Dahil); 38) Kıymetli maden ithalat ödemesi</t>
  </si>
  <si>
    <t xml:space="preserve">Peşin ödeme ile yapılan ithalat mal F.O.B. bedeli (Navlun ve sigorta hariç)</t>
  </si>
  <si>
    <t xml:space="preserve">A1A03</t>
  </si>
  <si>
    <t xml:space="preserve">Peşin ödeme = ihracat sözleşmesine karşı avans tahsili.</t>
  </si>
  <si>
    <t xml:space="preserve">Yurtiçinde yerleşik diğer bir bankada başlayan ithalat işlemleri sonucunda oluşan kısa vadeli ithalat borçlarına ilişkin ödenen ithalat mal F.O.B. bedeli (Navlun ve sigorta hariç)</t>
  </si>
  <si>
    <t xml:space="preserve">Başka bankada başlayan ithalatın borç ödemesi.</t>
  </si>
  <si>
    <t xml:space="preserve">İhracat navlunu (DENİZ): Yurtiçinde yerleşik kişiler tarafından yurtdışında yerleşik kişilere Türkiye'den yurtdışına yapılan ihracat nedeniyle ödenen navlun bedelleri</t>
  </si>
  <si>
    <t xml:space="preserve">A2A04</t>
  </si>
  <si>
    <t xml:space="preserve">Deniz navlunu.</t>
  </si>
  <si>
    <t xml:space="preserve">İthalat navlunu: Yurtiçinde yerleşik kişiler tarafından yurtdışında yerleşik kişilere Türkiye'ye yapılan ithalat nedeniyle ödenen navlun bedelleri</t>
  </si>
  <si>
    <t xml:space="preserve">Transit taşımacılık navlunu (DENİZ): Yurtiçinde yerleşik kişiler tarafından transit olarak yapılan mal nakliyatı nedeniyle yurtdışında yerleşik kişilere ödenen navlun bedelleri</t>
  </si>
  <si>
    <t xml:space="preserve">Uluslararası yolcu taşımacılığı (DENİZ): Yurtdışında yerleşik kişiler tarafından yurtiçinde yerleşik kişilere sağlanan yolcu bileti, fazla bagaj gibi taşımacılık hizmetleri ile yurtiçinde yerleşik kişilere mürettebatıyla birlikte kısa süreli taşıt kiralanması nedeniyle ödenen bedeller</t>
  </si>
  <si>
    <t xml:space="preserve">A2A01</t>
  </si>
  <si>
    <t xml:space="preserve">Deniz yolcu taşımacılığı. Mürettebatlı kiralama ise A2A05.</t>
  </si>
  <si>
    <t xml:space="preserve">Diğer taşımacılık hizmetleri (DENİZ): Yurtiçinde yerleşik kişilere yurtdışı limanlarda sağlanan kargo yükleme/boşaltma, depolama, temizleme, çekme, kurtarma vb. hizmetleri ile yurtiçindeki liman, havalimanı, tren istasyonu, terminal gibi tesislerin işletilmesi nedeniyle yurtdışında yerleşik kişilere ödenen bedeller</t>
  </si>
  <si>
    <t xml:space="preserve">A2A13</t>
  </si>
  <si>
    <t xml:space="preserve">Liman hizmetleri, yükleme-boşaltma vb.</t>
  </si>
  <si>
    <t xml:space="preserve">İhracat navlunu (HAVA) : Yurtiçinde yerleşik kişiler tarafından yurtdışında yerleşik kişilere Türkiye'den yurtdışına yapılan ihracat nedeniyle ödenen navlun bedelleri</t>
  </si>
  <si>
    <t xml:space="preserve">A2A10</t>
  </si>
  <si>
    <t xml:space="preserve">Hava navlunu.</t>
  </si>
  <si>
    <t xml:space="preserve">Transit taşımacılık navlunu (HAVA): Yurtiçinde yerleşik kişiler tarafından transit olarak yapılan mal nakliyatı nedeniyle yurtdışında yerleşik kişilere ödenen navlun bedelleri</t>
  </si>
  <si>
    <t xml:space="preserve">Uluslararası yolcu taşımacılığı (HAVA): Yurtdışında yerleşik kişiler tarafından yurtiçinde yerleşik kişilere sağlanan yolcu bileti, fazla bagaj gibi taşımacılık hizmetleri ile yurtiçinde yerleşik kişilere mürettebatıyla birlikte kısa süreli taşıt kiralanması nedeniyle ödenen bedeller</t>
  </si>
  <si>
    <t xml:space="preserve">A2A07</t>
  </si>
  <si>
    <t xml:space="preserve">Hava yolcu taşımacılığı. Mürettebatlı kiralama ise A2A11.</t>
  </si>
  <si>
    <t xml:space="preserve">Diğer taşımacılık hizmetleri (HAVA): Yurtiçinde yerleşik kişilere yurtdışı limanlarda sağlanan kargo yükleme/boşaltma, depolama, temizleme, çekme, kurtarma vb. hizmetleri ile yurtiçindeki liman, havalimanı, tren istasyonu, terminal gibi tesislerin işletilmesi nedeniyle yurtdışında yerleşik kişilere ödenen bedeller</t>
  </si>
  <si>
    <t xml:space="preserve">Havalimanı/yer hizmetleri.</t>
  </si>
  <si>
    <t xml:space="preserve">İhracat navlunu (KARA): Yurtiçinde yerleşik kişiler tarafından yurtdışında yerleşik kişilere Türkiye'den yurtdışına yapılan ihracat nedeniyle ödenen navlun bedelleri</t>
  </si>
  <si>
    <t xml:space="preserve">Kara/demiryolu; QAR'da yalnız deniz ve hava navlunu ayrı, diğerleri 'other transportation'.</t>
  </si>
  <si>
    <t xml:space="preserve">İthalat navlunu(KARA): Yurtiçinde yerleşik kişiler tarafından yurtdışında yerleşik kişilere Türkiye'ye yapılan ithalat nedeniyle ödenen navlun bedelleri</t>
  </si>
  <si>
    <t xml:space="preserve">Transit taşımacılık navlunu(KARA): Yurtiçinde yerleşik kişiler tarafından transit olarak yapılan mal nakliyatı nedeniyle yurtdışında yerleşik kişilere ödenen navlun bedelleri</t>
  </si>
  <si>
    <t xml:space="preserve">Uluslararası yolcu taşımacılığı(KARA): Yurtdışında yerleşik kişiler tarafından yurtiçinde yerleşik kişilere sağlanan yolcu bileti, fazla bagaj gibi taşımacılık hizmetleri ile yurtiçinde yerleşik kişilere mürettebatıyla birlikte kısa süreli taşıt kiralanması nedeniyle ödenen bedeller</t>
  </si>
  <si>
    <t xml:space="preserve">Diğer taşımacılık hizmetleri(KARA): Yurtiçinde yerleşik kişilere yurtdışı limanlarda sağlanan kargo yükleme/boşaltma, depolama, temizleme, çekme, kurtarma vb. hizmetleri ile yurtiçindeki liman, havalimanı, tren istasyonu, terminal gibi tesislerin işletilmesi nedeniyle yurtdışında yerleşik kişilere ödenen bedeller</t>
  </si>
  <si>
    <t xml:space="preserve">İhracat navlunu (DEMİRYOLU): Yurtiçinde yerleşik kişiler tarafından yurtdışında yerleşik kişilere Türkiye'den yurtdışına yapılan ihracat nedeniyle ödenen navlun bedelleri</t>
  </si>
  <si>
    <t xml:space="preserve">İthalat navlunu(DEMİRYOLU): Yurtiçinde yerleşik kişiler tarafından yurtdışında yerleşik kişilere Türkiye'ye yapılan ithalat nedeniyle ödenen navlun bedelleri</t>
  </si>
  <si>
    <t xml:space="preserve">Transit taşımacılık navlunu(DEMİRYOLU): Yurtiçinde yerleşik kişiler tarafından transit olarak yapılan mal nakliyatı nedeniyle yurtdışında yerleşik kişilere ödenen navlun bedelleri</t>
  </si>
  <si>
    <t xml:space="preserve">Uluslararası yolcu taşımacılığı(DEMİRYOLU): Yurtiçinde yerleşik kişilere yurtdışı limanlarda sağlanan kargo yükleme/boşaltma, depolama, temizleme, çekme, kurtarma vb. hizmetler ile yurtiçindeki liman, havalimanı, tren istasyonu, terminal gibi tesislerin işletilmesi nedeniyle yurtdışında yerleşik kişilere ödenen bedeller</t>
  </si>
  <si>
    <t xml:space="preserve">Diğer taşımacılık hizmetleri (DEMİRYOLU): Yurtiçinde yerleşik kişilere yurtdışı limanlarda sağlanan kargo yükleme/boşaltma, depolama, temizleme, çekme, kurtarma vb. hizmetleri ile yurtiçindeki liman, havalimanı, tren istasyonu, terminal gibi tesislerin işletilmesi nedeniyle yurtdışında yerleşik kişilere ödenen bedeller</t>
  </si>
  <si>
    <t xml:space="preserve">Boru Hattı Taşımacılığı ve Elektrik İletimi Petrol, doğalgaz, su ve benzeri ürünlerin boru hatları ile taşınması ile elektrik iletim hizmetleri nedeniyle yurtdışında yerleşik kişilere ödenen bedeller (Ürün ihraç bedeli ile dağıtım bedeli hariç tutulacaktır.)</t>
  </si>
  <si>
    <t xml:space="preserve">Boru hattı / elektrik iletimi.</t>
  </si>
  <si>
    <t xml:space="preserve">Posta ve Kurye Hizmetleri Yurtdışında yerleşik kişiler tarafından yurtiçinde yerleşik kişilere sağlanan posta ve kurye hizmetleri nedeniyle ödenen bedeller</t>
  </si>
  <si>
    <t xml:space="preserve">A2K02</t>
  </si>
  <si>
    <t xml:space="preserve">Kurye hizmetleri. Posta ise A2K01.</t>
  </si>
  <si>
    <t xml:space="preserve">Seyahat giderleri-Kurs-Kongre-Tatil-Eğitim-Tedavi-Hac (Tesis edilen seyahat çek bedelleri de muhabire borç kaydedildiği zaman bu kod altında bildirilecektir)</t>
  </si>
  <si>
    <t xml:space="preserve">A2B01</t>
  </si>
  <si>
    <t xml:space="preserve">34) Seyahat, turizm, eğitim ve sağlık hizmetleri</t>
  </si>
  <si>
    <t xml:space="preserve">Yurtdışında gerçekleştirilen inşaat hizmetleri giderleri: Yurtiçinde yerleşik kişiler tarafından yurtdışında gerçekleştirilen inşaat hizmetleri ile ilgili olarak, yurtdışında yerleşik kişilerden sağlanan mal ve hizmetler nedeniyle ödenen bedeller (Hazırlık avansları dahil)</t>
  </si>
  <si>
    <t xml:space="preserve">A2D01</t>
  </si>
  <si>
    <t xml:space="preserve">Katar'da gerçekleştirilen inşaat projesi giderleri.</t>
  </si>
  <si>
    <t xml:space="preserve">28) Ticaret ve endüstri hizmetleri</t>
  </si>
  <si>
    <t xml:space="preserve">Yurtiçinde gerçekleştirilen inşaat hizmetleri giderleri: Yurtdışında yerleşik kişiler tarafından yurtiçinde gerçekleştirilen inşaat hizmetleri nedeniyle ödenen bedeller</t>
  </si>
  <si>
    <t xml:space="preserve">Türkiye'de yabancı müteahhit inşaat bedeli; QAR'da yurt dışı inşaat ayrımı yok.</t>
  </si>
  <si>
    <t xml:space="preserve">Hayat sigortası: Yurtiçinde yerleşik gerçek kişiler tarafından yurtdışında yerleşik sigorta şirketlerine yapılan prim ödemeleri ile yurtiçinde yerleşik sigorta şirketlerinin hayat sigortası ile ilgili olarak yurtdışında yerleşik gerçek kişilere yaptıkları ödemeler (Ölüme bağlı hayat sigortasına ilişkin bedeller hariç tutulacaktır)</t>
  </si>
  <si>
    <t xml:space="preserve">A2C01</t>
  </si>
  <si>
    <t xml:space="preserve">31) Sigorta ve reasürans hizmetleri</t>
  </si>
  <si>
    <t xml:space="preserve">Emeklilik hizmetleri: Yurtiçinde yerleşik gerçek kişiler tarafından yurtdışında yerleşik sigorta şirketlerine yapılan prim ödemeleri ile yurtiçinde yerleşik sigorta şirketlerinin emeklilik hizmetleri ile ilgili olarak yurtdışında yerleşik gerçek kişilere yaptıkları ödemeler</t>
  </si>
  <si>
    <t xml:space="preserve">Emeklilik hizmetleri; QAR'da ayrı kod yok.</t>
  </si>
  <si>
    <t xml:space="preserve">35) Kişisel gelir ve harcamalar, ücret ve emeklilik ödemeleri</t>
  </si>
  <si>
    <t xml:space="preserve">Navlun sigortası: Yurtiçinde yerleşik kişilerin mal taşımacılığı alanında aldıkları sigortacılık hizmetlerinden dolayı yurtdışında yerleşik sigorta şirketlerine ödedikleri primler ile yurtiçinde yerleşik sigorta şirketlerinin bu kapsamda yurtdışında yerleşik kişilere yaptıkları tazminat ödemeleri</t>
  </si>
  <si>
    <t xml:space="preserve">A2C02</t>
  </si>
  <si>
    <t xml:space="preserve">Diğer doğrudan sigorta: Yurtiçinde yerleşik kişilerin, hayat, emeklilik ve navlun sigortası dışındaki ölüme bağlı hayat sigortası, özel sağlık sigortası ile kaza, yangın, doğal afet, seyahat, kredi kartı sigortası gibi alanlarda aldıkları sigortacılık hizmetlerinden dolayı yurtdışında yerleşik sigorta şirketlerine ödedikleri primler ile yurtiçinde yerleşik sigorta şirketlerinin bu kapsamda yurtdışında yerleşik gerçek kişilere yaptıkları tazminat ödemeleri (Ölüme bağlı hayat sigortasına ilişkin bedeller bu kod altında bildirilecektir.)</t>
  </si>
  <si>
    <t xml:space="preserve">A2C03</t>
  </si>
  <si>
    <t xml:space="preserve">Reasürans: Yurtiçinde yerleşik reasürörlerin, yurtdışında yerleşik sedan şirketlerine yaptıkları hasar ödemeleri ile yurtiçinde yerleşik sedan şirketlerinin reasürans nedeniyle yurtdışında yerleşik reasürörlere devrettikleri primler</t>
  </si>
  <si>
    <t xml:space="preserve">A2C04</t>
  </si>
  <si>
    <t xml:space="preserve">Standartlaştırılmış garanti hizmetleri: Yurtiçinde yerleşik kişiler tarafından yurtdışında yerleşik sigorta şirketlerine garantör hizmetleri, ihracat kredi garantisi vb. için yapılan prim ödemeleri ile yurtiçinde yerleşik sigorta şirketlerinin bu kapsamda yurtdışında yerleşik kişilere yaptıkları tazminat ödemeleri</t>
  </si>
  <si>
    <t xml:space="preserve">Standart garanti hizmetleri (ihracat kredi garantisi vb.).</t>
  </si>
  <si>
    <t xml:space="preserve">Sigortacılık yardımcı hizmetleri: Yurtiçinde yerleşik kişilerin, her türlü sigorta işlemleri nedeniyle yurtdışında yerleşik kişilere ödedikleri acente komisyonu, danışmanlık hizmet bedelleri ve benzeri giderler</t>
  </si>
  <si>
    <t xml:space="preserve">A2C05</t>
  </si>
  <si>
    <t xml:space="preserve">Yurtdışında yerleşik kişilerden alınan finansal aracılık ve finansal nitelikli danışmanlık, saklama ve varlık yönetimi gibi hizmetler nedeniyle ödenen her türlü hizmet komisyonu ve benzeri giderler</t>
  </si>
  <si>
    <t xml:space="preserve">A2F01</t>
  </si>
  <si>
    <t xml:space="preserve">Finansal aracılık ücret/komisyonu. Saklama/varlık yönetimi ise A2F03.</t>
  </si>
  <si>
    <t xml:space="preserve">23) Bankacılık ve finansal hizmetlerle ilgili Ücret, masraf, komisyon ödemeleri</t>
  </si>
  <si>
    <t xml:space="preserve">Yurtdışında yerleşik kişilerden finansal türev işlemleri ile ilgili alınan aracılık hizmetleri nedeniyle ödenen her türlü hizmet komisyonu ve benzeri giderler</t>
  </si>
  <si>
    <t xml:space="preserve">A2F02</t>
  </si>
  <si>
    <t xml:space="preserve">Türev işlem aracılık komisyonu.</t>
  </si>
  <si>
    <t xml:space="preserve">Yurtiçinde yerleşik kişilerden alınan finansal aracılık ve finansal nitelikli danışmanlık, saklama ve varlık yönetimi gibi hizmetler nedeniyle ödenen her türlü hizmet komisyonu ve benzeri giderler</t>
  </si>
  <si>
    <t xml:space="preserve">Yurt içi yerleşikten alınan finansal hizmet; yurt dışına ödeniyorsa.</t>
  </si>
  <si>
    <t xml:space="preserve">Yurtiçinde yerleşik kişilerden finansal türev işlemleri ile ilgili alınan aracılık hizmetleri nedeniyle ödenen her türlü hizmet komisyonu ve benzeri giderler</t>
  </si>
  <si>
    <t xml:space="preserve">Yurt içi yerleşikten türev aracılık hizmeti; yurt dışına ödeniyorsa.</t>
  </si>
  <si>
    <t xml:space="preserve">İmtiyaz ve ticari marka lisans giderleri</t>
  </si>
  <si>
    <t xml:space="preserve">A2R01</t>
  </si>
  <si>
    <t xml:space="preserve">İmtiyaz (franchise) ve ticari marka lisansı.</t>
  </si>
  <si>
    <t xml:space="preserve">37) Hukuki danışmanlık, mahkeme, tazminat, bröve, marka tescil, üyelik/aidat işlemleri</t>
  </si>
  <si>
    <t xml:space="preserve">Telif, patent ve benzeri haklar nedeniyle ödenen bedeller</t>
  </si>
  <si>
    <t xml:space="preserve">Telif, patent ve benzeri hak bedeli.</t>
  </si>
  <si>
    <t xml:space="preserve">Araştırma ve geliştirme sonuçlarının kullanımına ilişkin lisans giderleri</t>
  </si>
  <si>
    <t xml:space="preserve">Ar-Ge sonuçları kullanım lisansı.</t>
  </si>
  <si>
    <t xml:space="preserve">Bilgisayar yazılımlarının çoğaltılması ve/veya dağıtılmasına ilişkin lisans giderleri (Yazılımların toptan veya perakende alımı bilgisayar yazılım hizmetleri kodu altında gösterilecektir.)</t>
  </si>
  <si>
    <t xml:space="preserve">A2R02</t>
  </si>
  <si>
    <t xml:space="preserve">Orijinal/prototiplerin çoğaltma-dağıtım lisansı.</t>
  </si>
  <si>
    <t xml:space="preserve">Görsel-işitsel (audio-visual) ve ilgili ürünlerin çoğaltılması ve/veya dağıtılmasına ilişkin lisans giderleri</t>
  </si>
  <si>
    <t xml:space="preserve">Görsel-işitsel (audio-visual) ve ilgili ürünler dışındaki ürünlerin çoğaltılması ve/veya dağıtılmasına ilişkin lisans giderleri</t>
  </si>
  <si>
    <t xml:space="preserve">Telekomünikasyon hizmetleri: Yurtdışında yerleşik kişilerden sağlanan ses,görüntü, veri ve diğer bilgilerin telefon, teleks, telgraf, radyo ve televizyon uydusu kablo, elektronik posta vb. ile iletilmesi gibi hizmetler nedeniyle ödenen bedeller (Taşınan bilgilerin bedeli hariç tutulacaktır. İş ağı hizmetleri, telekonferans ve destek hizmetleri, mobil telekomünikasyon hizmetleri, internet altyapı hizmetleri, internet erişimi sağlanması dahil çevrimiçi erişim hizmetleri bu kod altında bildirilecektir)</t>
  </si>
  <si>
    <t xml:space="preserve">A2K03</t>
  </si>
  <si>
    <t xml:space="preserve">42) Telekomünikasyon Hizmetleri</t>
  </si>
  <si>
    <t xml:space="preserve">Bilgisayar yazılım hizmetleri: Yurtiçinde yerleşik kişiler için yazılım geliştirilmesi ve ilgili kullanım lisansları, yazılım sistemleri ve uygulamaları için orijinallerin (asılların) ve mülkiyet haklarının alımı vb. gibi yazılım hizmetleri nedeniyle ödenen bedeller</t>
  </si>
  <si>
    <t xml:space="preserve">A2E02</t>
  </si>
  <si>
    <t xml:space="preserve">43) Bilgisayar ve Bilgi Hizmetleri</t>
  </si>
  <si>
    <t xml:space="preserve">Diğer bilgisayar hizmetleri: Yurtdışında yerleşik kişilerden bilgi işlemle ilgili olarak alınan danışmanlık, bakım, onarım sistem programlaması ve tasarımı hizmetleri (web sitesi tasarım ve kurulum hizmetleri dahil) ile veri kurtarma, veri işleme gibi bilgisayar donanım ve yazılım hizmetleri nedeniyle ödenen bedeller</t>
  </si>
  <si>
    <t xml:space="preserve">A2E04</t>
  </si>
  <si>
    <t xml:space="preserve">Bakım/onarım. Danışmanlık ağırlıklıysa A2E01.</t>
  </si>
  <si>
    <t xml:space="preserve">Haber ajansı hizmetleri: Yurtdışında yerleşik medya kuruluşlarından haber, fotoğraf ve makale sağlanması dolayısıyla ödenen bedeller</t>
  </si>
  <si>
    <t xml:space="preserve">A2E05</t>
  </si>
  <si>
    <t xml:space="preserve">Diğer bilgi hizmetleri: Yurtdışında yerleşik kişilerden alınan veri tabanı, veri saklama, veri dağıtım ve internet tarama hizmetleri ile gazete ve süreli yayınlara, posta, elektronik dağıtım veya diğer yollarla toplu olmayan doğrudan abonelikler nedeniyle ödenen bedeller</t>
  </si>
  <si>
    <t xml:space="preserve">A2E06</t>
  </si>
  <si>
    <t xml:space="preserve">Abonelik/bilgi hizmeti. Veri tabanı/veri işleme ise A2E03.</t>
  </si>
  <si>
    <t xml:space="preserve">Araştırma geliştirme hizmetleri (Araştırma ve geliştirme faaliyetleri sonucu ortaya çıkan patent gibi ilgili fikri mülkiyet haklarının alımı nedeniyle ödenen bedeller dahil)</t>
  </si>
  <si>
    <t xml:space="preserve">A2J08</t>
  </si>
  <si>
    <t xml:space="preserve">Hukuk hizmetleri</t>
  </si>
  <si>
    <t xml:space="preserve">A2J04</t>
  </si>
  <si>
    <t xml:space="preserve">Muhasebe, gözetim, defter tutma ve vergi danışmanlığı hizmetleri</t>
  </si>
  <si>
    <t xml:space="preserve">A2J05</t>
  </si>
  <si>
    <t xml:space="preserve">İşletme ve yönetim danışmanlığı ile halkla ilişkiler hizmetleri</t>
  </si>
  <si>
    <t xml:space="preserve">A2J06</t>
  </si>
  <si>
    <t xml:space="preserve">Reklam, pazarlama, pazar ve piyasa araştırma hizmetleri ile yurtdışında düzenlenen kongre, fuar ve sergiler nedeniyle ödenen bedeller</t>
  </si>
  <si>
    <t xml:space="preserve">A2J07</t>
  </si>
  <si>
    <t xml:space="preserve">29) Dış ticaret hizmetleri</t>
  </si>
  <si>
    <t xml:space="preserve">Mimari hizmetler, mühendislik hizmetleri ile bilimsel ve diğer teknik hizmetler</t>
  </si>
  <si>
    <t xml:space="preserve">A2J09</t>
  </si>
  <si>
    <t xml:space="preserve">Atık bertaraf, geri kazanım ve arındırma hizmetleri</t>
  </si>
  <si>
    <t xml:space="preserve">A2J13</t>
  </si>
  <si>
    <t xml:space="preserve">Atık/arıtma = çevre hizmetleri.</t>
  </si>
  <si>
    <t xml:space="preserve">Tarım, ormancılık ve balıkçılıkla dolaylı olarak ilgili olan hizmetler</t>
  </si>
  <si>
    <t xml:space="preserve">A2J10</t>
  </si>
  <si>
    <t xml:space="preserve">Madencilik, petrol ve doğalgaz çıkartılmasıyla dolaylı olarak ilgili olan hizmetler</t>
  </si>
  <si>
    <t xml:space="preserve">Operasyonel kiralama giderleri: Yurtdışında yerleşik kişilerden mürettebatsız olarak kısa süreli taşıt, makina ve ekipman kiralanması nedeniyle ödenen bedeller (Mürettebatıyla birlikte kısa süreli taşıt kiralanması nedeniyle ödenen bedeller Taşımacılık/Yolcu Taşımacılığı Hizmetlerinde gösterilecektir)</t>
  </si>
  <si>
    <t xml:space="preserve">A2J03</t>
  </si>
  <si>
    <t xml:space="preserve">Mürettebatsız operasyonel kiralama.</t>
  </si>
  <si>
    <t xml:space="preserve">Yabancı sermaye şirketleri arasında gerçekleşen ve diğer hizmet sınıflamalarına girmeyen hizmetler (Yabancı sermaye konusu yurtdışındaki şube, iştirak ve bağlı ortaklıkların genel yönetim ve gider harcamaları için ana ortak tarafından gönderilen tutarlar)</t>
  </si>
  <si>
    <t xml:space="preserve">A2J11</t>
  </si>
  <si>
    <t xml:space="preserve">Grup şirketleri arası / ofis giderleri.</t>
  </si>
  <si>
    <t xml:space="preserve">Gayrimenkul yönetim hizmetleri</t>
  </si>
  <si>
    <t xml:space="preserve">A2J19</t>
  </si>
  <si>
    <t xml:space="preserve">QAR'da ayrı kod yok; diğer hizmetler.</t>
  </si>
  <si>
    <t xml:space="preserve">Çeviri hizmetleri</t>
  </si>
  <si>
    <t xml:space="preserve">İnsan kaynakları, iş bulma ve istihdam hizmetleri</t>
  </si>
  <si>
    <t xml:space="preserve">TPKK hakkında 32 Sayılı Karara uygun olarak yurtiçine döviz olarak verilen döviz kredisi karşılığında görünmeyen işlemlere ilişkin yurtdışına yapılan transferler</t>
  </si>
  <si>
    <t xml:space="preserve">Döviz kredisi karşılığı görünmeyen işlem transferi; içeriğe göre değişir.</t>
  </si>
  <si>
    <t xml:space="preserve">Komisyonculuk hizmet gideri: Mal ve hizmet işlemlerine ilişkin olarak yurtdışında yerleşik aracılar tarafından alınan komisyonlar, yurtiçine yapılan komisyonculuk ile (mümessillik, ticari mümessillik, ticari vekillik, ticari işler tellallığı, simsarlık, acentelik, distribütörlük ve benzeri) Türkiye ve yabancı bir ülke arasındaki ticari bağlantıların sağlanmasından dolayı ödenen bedeller</t>
  </si>
  <si>
    <t xml:space="preserve">A2J02</t>
  </si>
  <si>
    <t xml:space="preserve">İhracat/ithalat komisyonu.</t>
  </si>
  <si>
    <t xml:space="preserve">Görsel-İşitsel hizmetler: Bant, video-kaset, disk veya elektronik ortamdaki sinema filmleri, radyo ve televizyon programları ve müzik kayıtlarının yapımına ilişkin hizmetler ile görsel-işitsel ve ilgili ürünlerin kiralanması, şifreli televizyon kanallarına erişim ücretleri nedeniyle ödenen bedeller (Eserlerin orijinalleri, müzikal kayıtlar ve filmlerin alımı nedeniyle ödenen bedeller de bu kod altında bildirilecektir)</t>
  </si>
  <si>
    <t xml:space="preserve">A2H01</t>
  </si>
  <si>
    <t xml:space="preserve">32) Görsel ve işitsel hizmetler</t>
  </si>
  <si>
    <t xml:space="preserve">Sanatçılar (aktörler, müzisyenler, dansçılar vb.), yazarlar, besteciler ve heykeltraşlar tarafından sağlanan hizmetler ile sahne sanatları ve diğer canlı eğlence etkinliklerinin kaydı, tanıtım ve sunumu nedeniyle ödenen bedeller</t>
  </si>
  <si>
    <t xml:space="preserve">Diğer kişisel, kültürel ve eğitsel hizmetler: Bu kod altında uzaktan televizyon ya da internet aracılığıyla sağlanan sağlık ve eğitim hizmetleri, müze ve kütüphanecilik hizmetleri gibi kültürel hizmetler ile sportif hizmetler bildirilecektir (“5730 - Seyahat Giderleri” kodu altında bildirilen, yurtdışına eğitim ve tedavi amacıyla giden yurtiçinde yerleşik kişilerin yurtdışındaki harcamaları dahil edilmeyecektir)</t>
  </si>
  <si>
    <t xml:space="preserve">A2H02</t>
  </si>
  <si>
    <t xml:space="preserve">Spor ödülleri ve yarışma kazançları</t>
  </si>
  <si>
    <t xml:space="preserve">Yurtiçinde yerleşik kişilerin Türkiyedeki yabancı elçilik, konsolosluk, askeri ve sivil temsilcilikler ile gerçekleştirdikleri hizmetlere ilişkin işlemler nedeniyle yaptıkları ödemeler</t>
  </si>
  <si>
    <t xml:space="preserve">A2G07</t>
  </si>
  <si>
    <t xml:space="preserve">Katar temsilciliğine ödenen resmi hizmet bedeli (vize vb.).</t>
  </si>
  <si>
    <t xml:space="preserve">36) Kamu gelir ve giderleri</t>
  </si>
  <si>
    <t xml:space="preserve">T.C. elçilik, konsolosluk, askeri ve sivil temsilciliklerinin, ofis ve personel ihtiyaçları için bulundukları ülkeden sağladıkları mal ve hizmetler nedeniyle yaptıkları ödemeler (Türkiye Cumhuriyeti yabancı temsilciliklerinin Türk tabiiyetli personeli ve yakınları Türkiyenin yerleşiği kabul edildiğinden, söz konusu kişilerin bulundukları ülkelerde yaptıkları harcamalar da bu kod altında bildirilecektir)</t>
  </si>
  <si>
    <t xml:space="preserve">A2G01</t>
  </si>
  <si>
    <t xml:space="preserve">T.C. temsilciliklerinin Katar'daki ofis/personel giderleri.</t>
  </si>
  <si>
    <t xml:space="preserve">Diğer resmi hizmet giderleri</t>
  </si>
  <si>
    <t xml:space="preserve">İşlem gören mallar nedeniyle ödenen bedeller (işleme tabi tutma, tamamlama ve benzerleri dahil)</t>
  </si>
  <si>
    <t xml:space="preserve">İşleme hizmetleri; QAR'da ayrı kod yok.</t>
  </si>
  <si>
    <t xml:space="preserve">Yurtiçinde yerleşik kilere ait mallar ile deniz, hava ve kara taşıtlarının yurtdışında tamir ve bakımına ilişkin giderler (Söz konusu taşıtlara ilişkin temizlik hizmetleri ile sabit yapılar, yollar, köprüler vb. ile bilgisayarlara ilişkin tamir ve bakım hizmetleri hariç tutulacaktır.)</t>
  </si>
  <si>
    <t xml:space="preserve">Tamir-bakım (bilgisayar dışı); QAR'da yalnız bilgisayar bakımı (A2E04) var.</t>
  </si>
  <si>
    <t xml:space="preserve">Bankacılık işlemleri nedeniyle yurtdışı cari hesaplara ödenen faizler</t>
  </si>
  <si>
    <t xml:space="preserve">A3A05</t>
  </si>
  <si>
    <t xml:space="preserve">Bankacılık işlemleri nedeniyle yurt dışı cari hesaplara faiz.</t>
  </si>
  <si>
    <t xml:space="preserve">16) Depo/Repo/Ters Repo İşlemleri</t>
  </si>
  <si>
    <t xml:space="preserve">Yurtdışında yerleşik kişi, kuruluş ve bankalarca açılmış döviz hesaplarına ödenen faizler</t>
  </si>
  <si>
    <t xml:space="preserve">Yurt dışı yerleşik döviz hesaplarına mevduat faizi; QAR'da mevduat faizi kodu yok.</t>
  </si>
  <si>
    <t xml:space="preserve">Kabul kredili ve akreditifli (vadeli) ithalat işleminde, ithalat bedelinin ihracatçıya, vesaikin muhabire verilmesinden itibaren 365 güne kadarki bir tarihte ödenecek olması dolayısıyla oluşan kısa vadeli ithalat borçlarına ilişkin faiz ödemeleri</t>
  </si>
  <si>
    <t xml:space="preserve">A3A03</t>
  </si>
  <si>
    <t xml:space="preserve">Vadeli ithalat (kabul kredili/akreditifli) faizi.</t>
  </si>
  <si>
    <t xml:space="preserve">40) Kredi Faiz Ödemesi</t>
  </si>
  <si>
    <t xml:space="preserve">Bir seneden daha kısa bir süre için yurtiçinde çalışmakta olan yurtdışında yerleşik kişilere yurtiçinde yerleşik işveren tarafından ödenen ücret ve maaşlar (Bir yıldan fazla süredir yurtiçinde ikamet eden ve dolayısıyla yurtiçinde yerleşik olan işçilere ödenen ücret ve maaşlar hariç)</t>
  </si>
  <si>
    <t xml:space="preserve">A4B07</t>
  </si>
  <si>
    <t xml:space="preserve">Kısa dönemli çalışan ücreti.</t>
  </si>
  <si>
    <t xml:space="preserve">Türkiyenin dış temsilciliklerinde çalışan yabancı tabiiyetli personele söz konusu temsilciliklerimizce yapılan ücret ve maaş ödemeleri</t>
  </si>
  <si>
    <t xml:space="preserve">Yurtdışına hibe şeklinde gönderilen dövizler</t>
  </si>
  <si>
    <t xml:space="preserve">A4B04</t>
  </si>
  <si>
    <t xml:space="preserve">Hibe / resmi transfer.</t>
  </si>
  <si>
    <t xml:space="preserve">Nato-Enfrastrüktür kapsamında gönderilen hibeler</t>
  </si>
  <si>
    <t xml:space="preserve">Yurtdışında yerleşik kişilere yapılan sosyal güvenlik ödemeleri ve diğer kanuni ödemeler</t>
  </si>
  <si>
    <t xml:space="preserve">A4B02</t>
  </si>
  <si>
    <t xml:space="preserve">Sosyal güvenlik ödemesi; QAR'da ayrı kod yok.</t>
  </si>
  <si>
    <t xml:space="preserve">Katma değer vergisi için yapılan döviz iadeleri (Yurtdışında yerleşik kişilerin yurtiçindeki turistik seyahatlerinde satın aldıkları mallara ilişkin Katma Değer Vergisi iadeleri dahil)</t>
  </si>
  <si>
    <t xml:space="preserve">A4B06</t>
  </si>
  <si>
    <t xml:space="preserve">KDV iadesi.</t>
  </si>
  <si>
    <t xml:space="preserve">Diğer resmi transferler</t>
  </si>
  <si>
    <t xml:space="preserve">Tek ve maktu vergi dışında yolcu beraberinde götürülen eşyalarla ilgili gümrük vergileri için bozdurulan dövizler</t>
  </si>
  <si>
    <t xml:space="preserve">Yolcu eşyası gümrük vergisi.</t>
  </si>
  <si>
    <t xml:space="preserve">Karayolu transit taşımaları ile transit eşyanın taşınması ile ilgili yurtdışında Türk plakalı araçlardan alınan ücretler</t>
  </si>
  <si>
    <t xml:space="preserve">Transit kara taşımacılığı ücretleri.</t>
  </si>
  <si>
    <t xml:space="preserve">Yurtdışında yerleşik kişilere ödenen ceza, resim, harç ve vergiler</t>
  </si>
  <si>
    <t xml:space="preserve">Ceza, harç ve vergi ödemesi.</t>
  </si>
  <si>
    <t xml:space="preserve">Yurtiçinde yerleşik kişilerce yurtdışında açılan mevduat hesapları faiz gelirinde gelir vergisi stopajı ve ilgili fon ödemesi</t>
  </si>
  <si>
    <t xml:space="preserve">Faiz geliri vergi stopajı.</t>
  </si>
  <si>
    <t xml:space="preserve">Yurtiçinde yerleşik kişilerce, yurtdışında yerleşik meslek kuruluşları, dernek ve kulüplere yapılan aidat ödemeleri</t>
  </si>
  <si>
    <t xml:space="preserve">Meslek kuruluşu/dernek aidatı.</t>
  </si>
  <si>
    <t xml:space="preserve">İşçi giderleri: Yurtiçinde yerleşik işçilerin (Bir yıldan fazla süredir yurtiçinde ikamet eden yabancı tabiiyetli kişiler) yurtdışındaki yakınlarına gönderdikleri havaleler</t>
  </si>
  <si>
    <t xml:space="preserve">A4A01</t>
  </si>
  <si>
    <t xml:space="preserve">İşçi havaleleri (aile geçimi).</t>
  </si>
  <si>
    <t xml:space="preserve">Diğer kişisel transferler: Yurtiçinde yerleşik kişilerin (işçiler hariç) yurtdışında yerleşik kişilere gönderdikleri havaleler</t>
  </si>
  <si>
    <t xml:space="preserve">Kişisel transfer / hediye.</t>
  </si>
  <si>
    <t xml:space="preserve">İmtiyaz, telif, ticari marka, patent ve lisans haklarının alımı nedeniyle ödenen bedeller</t>
  </si>
  <si>
    <t xml:space="preserve">A5A17</t>
  </si>
  <si>
    <t xml:space="preserve">Fikri mülkiyet haklarının satın alımı (gayri maddi varlık).</t>
  </si>
  <si>
    <t xml:space="preserve">Genel Hükümet tarafından yurtdışında yerleşik kişilere sağlanan nakdi yatırım hibeleri</t>
  </si>
  <si>
    <t xml:space="preserve">Genel Hükümet hariç yurtiçinde yerleşik kişiler tarafından yurtdışında yerleşik kişilere sağlanan nakdi yatırım hibeleri</t>
  </si>
  <si>
    <t xml:space="preserve">A6C18</t>
  </si>
  <si>
    <t xml:space="preserve">Özel kesim yatırım hibesi (sermaye transferi).</t>
  </si>
  <si>
    <t xml:space="preserve">T5930</t>
  </si>
  <si>
    <t xml:space="preserve">Yurtiçinde yerleşik alacaklı kuruluş tarafından borcun affedilmesi</t>
  </si>
  <si>
    <t xml:space="preserve">Borç affı; nakit akımı yok, sermaye transferi niteliğinde.</t>
  </si>
  <si>
    <t xml:space="preserve">24) İade işlemi</t>
  </si>
  <si>
    <t xml:space="preserve">Bankalarca yurtdışında yerleşik ticari bankalardan sağlanan orta-uzun vadeli kredi anapara ödemesi</t>
  </si>
  <si>
    <t xml:space="preserve">A6C11</t>
  </si>
  <si>
    <t xml:space="preserve">Yurt dışından alınan kredinin anapara geri ödemesi.</t>
  </si>
  <si>
    <t xml:space="preserve">11) Kredi Anapara Ödemesi</t>
  </si>
  <si>
    <t xml:space="preserve">Bankalarca yurdışında yerleşik ticari bankalardan sağlanan orta-uzun vadeli kredi faiz ödemesi</t>
  </si>
  <si>
    <t xml:space="preserve">Kredi faizi.</t>
  </si>
  <si>
    <t xml:space="preserve">Bankalarca yurtdışında yerleşik ticari bankalardan sağlanan kısa vadeli kredi anapara ödemesi</t>
  </si>
  <si>
    <t xml:space="preserve">Bankalarca yurtdışında yerleşik ticari bankalardan sağlanan kısa vadeli kredi faiz ödemesi</t>
  </si>
  <si>
    <t xml:space="preserve">Prefinansman ihracat amacı ile bankalarca, özel kesimin talebi üzerine, yurtdışında yerleşik ticari kuruluşlardan sağlanan kısa vadeli kredi anapara geri ödemesi</t>
  </si>
  <si>
    <t xml:space="preserve">Prefinansman ihracat amacı ile bankalarca, özel kesimin talebi üzerine, yurtdışında yerleşik ticari kuruluşlardan sağlanan kısa vadeli kredi faiz ödemesi</t>
  </si>
  <si>
    <t xml:space="preserve">Bankalarca yurtdışında yerleşik ticari kuruluşlardan sağlanan orta-uzun vadeli kredi anapara ödemesi</t>
  </si>
  <si>
    <t xml:space="preserve">Bankalarca yurtdışında yerleşik ticari kuruluşlardan sağlanan orta-uzun vadeli kredi faiz ödemesi</t>
  </si>
  <si>
    <t xml:space="preserve">Bankalarca yurtdışında yerleşik ticari kuruluşlardan sağlanan kısa vadeli kredi anapara ödemesi</t>
  </si>
  <si>
    <t xml:space="preserve">Bankalarca yurtdışında yerleşik ticari kuruluşlardan sağlanan kısa vadeli kredi faiz ödemesi</t>
  </si>
  <si>
    <t xml:space="preserve">Ticari bankalarca döviz üzerinden düzenlenerek, yurtdışına ihraç edilmiş uzun vadeli (365 günü aşan) tahvil, ticari senet (commercial paper) ve benzeri kıymetli evrak tasfiyesi nedeniyle yurtdışına transfer edilen bedeller</t>
  </si>
  <si>
    <t xml:space="preserve">A6B02</t>
  </si>
  <si>
    <t xml:space="preserve">Türk ihraççı tahvil/CP itfası; Katarlı yatırımcıya anapara dönüşü.</t>
  </si>
  <si>
    <t xml:space="preserve">13) Menkul Kıymet Anapara Ödemesi</t>
  </si>
  <si>
    <t xml:space="preserve">Ticari bankalarca döviz üzerinden düzenlenerek, yurtdışına ihraç edilmiş uzun vadeli (365 günü aşan) tahvil, ticari senet (commercial paper) ve benzeri kıymetli evrak nedeniyle yurtdışına transfer edilen faiz ve benzeri ödemeler</t>
  </si>
  <si>
    <t xml:space="preserve">A3A04</t>
  </si>
  <si>
    <t xml:space="preserve">Tahvil/bono faiz-kupon ödemesi.</t>
  </si>
  <si>
    <t xml:space="preserve">41) Menkul Kıymet Kupon/Faiz Ödemesi</t>
  </si>
  <si>
    <t xml:space="preserve">Ticari bankalarca döviz üzerinden düzenlenerek, yurtdışına ihraç edilmiş kısa vadeli (365 gün ve daha kısa) tahvil, ticari senet (commercial paper) ve benzeri kıymetli evrak tasfiyesi nedeniyle yurtdışına tranfer edilen bedeller</t>
  </si>
  <si>
    <t xml:space="preserve">Ticari bankalarca döviz üzerinden düzenlenerek, yurtdışına ihraç edilmiş kısa vadeli (365 gün ve daha kısa) tahvil, ticari senet (commercial paper) ve benzeri kıymetli evrak nedeniyle yurtdışına transfer edilen faiz ve benzeri ödemeler</t>
  </si>
  <si>
    <t xml:space="preserve">Bankalarca yurtiçindeki bankalardan sağlanan sendikasyona katılım olarak verilmiş dövizler dahil, uzun vadeli kredi anapara ödemesi</t>
  </si>
  <si>
    <t xml:space="preserve">Bankalarca yurtiçindeki bankalardan sağlanan sendikasyona katılım olarak verilmiş dövizler dahil, uzun vadeli kredi faiz ödemesi</t>
  </si>
  <si>
    <t xml:space="preserve">Bankalarca yurtiçindeki bankalardan sağlanan sendikasyona katılım olarak verilmiş dövizler dahil, kısa vadeli kredi anapara ödemesi</t>
  </si>
  <si>
    <t xml:space="preserve">Bankalarca yurtiçindeki bankalardan sağlanan sendikasyona katılım olarak verilmiş dövizler dahil, kısa vadeli kredi faiz ödemesi</t>
  </si>
  <si>
    <t xml:space="preserve">Bankaların garanti verdiği, özel kesimce yurtdışında yerleşik ticari bankalardan sağlanan orta-uzun vadeli kredi anapara ödemesi</t>
  </si>
  <si>
    <t xml:space="preserve">Bankaların garanti verdiği, özel kesimce yurtdışında yerleşik ticari bankalardan sağlanan orta-uzun vadeli kredi faiz ödemesi</t>
  </si>
  <si>
    <t xml:space="preserve">Bankaların garanti verdiği, özel kesimce yurtdışında yerleşik ticari bankalardan sağlanan kısa vadeli kredi anapara ödemesi</t>
  </si>
  <si>
    <t xml:space="preserve">Bankaların garanti verdiği, özel kesimce yurtdışında yerleşik ticari bankalardan sağlanan kısa vadeli kredi faiz ödemesi</t>
  </si>
  <si>
    <t xml:space="preserve">Prefinansman ihracat amacı ile banka haricindeki özel kesimce yurtdışında yerleşik ticari kuruluşlardan sağlanan ve bankaca garanti verilen kısa vadeli kredi anapara ödemesi</t>
  </si>
  <si>
    <t xml:space="preserve">Prefinansman ihracat amacı ile banka haricindeki özel kesimce yurtdışında yerleşik ticari kuruluşlardan sağlanan ve bankaca garanti verilen kısa vadeli kredi faiz ödemesi</t>
  </si>
  <si>
    <t xml:space="preserve">Bankaların garanti verdiği, özel kesimce yurtdışında yerleşik ticari kuruluşlardan sağlanan orta-uzun vadeli kredi anapara ödemesi</t>
  </si>
  <si>
    <t xml:space="preserve">Bankaların garanti verdiği, özel kesimce yurdışında yerleşik ticari kuruluşlardan sağlanan orta-uzun vadeli kredi faiz ödemesi</t>
  </si>
  <si>
    <t xml:space="preserve">Bankaların garanti verdiği, özel kesimce yurdışında yerleşik ticari kuruluşlardan sağlanan kısa vadeli kredi anapara ödemesi</t>
  </si>
  <si>
    <t xml:space="preserve">Bankaların garanti verdiği, özel kesimce yurtdışında yerleşik ticari kuruluşlardan sağlanan kısa vadeli kredi faiz ödemesi</t>
  </si>
  <si>
    <t xml:space="preserve">Bankaların garanti verdiği, kamu kesimince yurtdışında yerleşik ticari bankalardan sağlanan orta-uzun vadeli kredi anapara ödemesi</t>
  </si>
  <si>
    <t xml:space="preserve">Bankaların garanti verdiği, kamu kesimince yurtdışında yerleşik ticari bankalardan sağlanan orta-uzun vadeli kredi faiz ödemesi</t>
  </si>
  <si>
    <t xml:space="preserve">Bankaların garanti verdiği, kamu kesimince yurtdışında yerleşik ticari bankalardan sağlanan kısa vadeli kredi anapara ödemesi</t>
  </si>
  <si>
    <t xml:space="preserve">Bankaların garanti verdiği, kamu kesimince yurtdışında yerleşik ticari bankalardan sağlanan kısa vadeli kredi faiz ödemesi</t>
  </si>
  <si>
    <t xml:space="preserve">Prefinansman ihracat amacı ile kamu kesimince yurtdışında yerleşik ticari kuruluşlardan sağlanan ve bankaca garanti verilen kısa vadeli kredi anapara ödemesi</t>
  </si>
  <si>
    <t xml:space="preserve">Prefinansman ihracat amacı ile kamu kesimince yurtdışında yerleşik ticari kuruluşlardan sağlanan ve bankaca garanti verilen kısa vadeli kredi faiz ödemesi</t>
  </si>
  <si>
    <t xml:space="preserve">Bankaların garanti verdiği, kamu kesimince yurtdışında yerleşik ticari kuruluşlardan sağlanan orta-uzun vadeli kredi anapara ödemesi</t>
  </si>
  <si>
    <t xml:space="preserve">Bankaların garanti verdiği, kamu kesimince yurtdışında yerleşik ticari kuruluşlardan sağlanan orta-uzun vadeli kredi faiz ödemesi</t>
  </si>
  <si>
    <t xml:space="preserve">Bankaların garanti verdiği, kamu kesimince yurtdışında yerleşik ticari kuruluşlardan sağlanan kısa vadeli kredi anapara ödemesi</t>
  </si>
  <si>
    <t xml:space="preserve">Bankaların garanti verdiği, kamu kesimince yurtdışında yerleşik ticari kuruluşlardan sağlanan kısa vadeli kredi faiz ödemesi</t>
  </si>
  <si>
    <t xml:space="preserve">Bankaların aracılık ettiği, özel kesimin yurtdışında yerleşik ticari bankalardan sağladığı orta-uzun vadeli kredi anapara ödemeleri</t>
  </si>
  <si>
    <t xml:space="preserve">Bankaların aracılık ettiği, özel kesimin yurtdışında yerleşik ticari bankalardan sağladığı orta-uzun vadeli kredi faiz ödemeleri</t>
  </si>
  <si>
    <t xml:space="preserve">Bankaların aracılık ettiği, özel kesimin yurtdışında yerleşik ticari bankalardan sağladığı kısa vadeli kredi anapara ödemeleri</t>
  </si>
  <si>
    <t xml:space="preserve">Bankaların aracılık ettiği, özel kesimin yurtdışında yerleşik ticari bankalardan sağladığı kısa vadeli kredi faiz ödemeleri</t>
  </si>
  <si>
    <t xml:space="preserve">Prefinansman ihracat amacı ile banka haricindeki özel kesimce yurtdışında yerleşik ticari kuruluşlardan sağlanan, bankaca aracılık edilen kısa vadeli kredi anapara ödemesi</t>
  </si>
  <si>
    <t xml:space="preserve">Prefinansman ihracat amacı ile banka haricindeki özel kesimce yurtdışında yerleşik ticari kuruluşlardan sağlanan, bankaca aracılık edilen kısa vadeli kredi faiz ödemesi</t>
  </si>
  <si>
    <t xml:space="preserve">Bankaların aracılık ettiği, özel kesimin yurtdışında yerleşik ticari kuruluşlardan sağladığı orta-uzun vadeli kredi anapara ödemesi</t>
  </si>
  <si>
    <t xml:space="preserve">Bankaların aracılık ettiği, özel kesimin yurtdışında yerleşik ticari kuruluşlardan sağladığı orta-uzun vadeli kredi faiz ödemesi</t>
  </si>
  <si>
    <t xml:space="preserve">Bankaların aracılık ettiği, özel kesimin yurtdışında yerleşik ticari kuruluşlardan sağladığı kısa vadeli kredi anapara ödemesi</t>
  </si>
  <si>
    <t xml:space="preserve">Bankaların aracılık ettiği, özel kesimin yurtdışında yerleşik ticari kuruluşlardan sağladığı kısa vadeli kredi faiz ödemesi</t>
  </si>
  <si>
    <t xml:space="preserve">Özel sektör tarafından döviz üzerinden düzenlenerek yurtdışına ihraç edilmiş uzun vadeli (365 günü aşan) tahvil, ticari senet (commercial paper) ve benzeri kıymetli evrak tasfiyesi nedeniyle yurtdışına transfer edilen bedeller</t>
  </si>
  <si>
    <t xml:space="preserve">Özel sektör tarafından döviz üzerinden düzenlenerek yurtdışına ihraç edilmiş uzun vadeli (365 günü aşan) tahvil, ticari senet (commercial paper) ve benzeri kıymetli evrak nedeniyle yurtdışına transfer edilen faiz ve benzeri</t>
  </si>
  <si>
    <t xml:space="preserve">Özel sektör tarafından döviz üzerinden düzenlenerek yurtdışına ihraç edilmiş kısa vadeli (365 gün ve daha kısa) tahvil, ticari senet (commercial paper) ve benzeri kıymetli evrak tasfiyesi nedeniyle yurtdışına transfer edilen</t>
  </si>
  <si>
    <t xml:space="preserve">Özel sektör tarafından döviz üzerinden düzenlenerek yurtdışına ihraç edilmiş kısa vadeli (365 gün ve daha kısa) tahvil, ticari senet (commercial paper) ve benzeri kıymetli evrak nedeniyle yurtdışına transfer edilen faiz ve benzeri</t>
  </si>
  <si>
    <t xml:space="preserve">Bankaların aracılık ettiği, kamu kesiminin yurtdışında yerleşik ticari bankalardan sağladığı orta-uzun vadeli kredi anapara ödemesi</t>
  </si>
  <si>
    <t xml:space="preserve">Bankaların aracılık ettiği, kamu kesiminin yurtdışında yerleşik ticari bankalardan sağladığı orta-uzun vadeli kredi faiz ödemeleri</t>
  </si>
  <si>
    <t xml:space="preserve">Bankaların aracılık ettiği, kamu kesiminin yurtdışında yerleşik ticari bankalardan sağladığı kısa vadeli kredi anapara ödemesi</t>
  </si>
  <si>
    <t xml:space="preserve">Bankaların aracılık ettiği, kamu kesimin yurtdışında yerleşik ticari bankalardan sağladığı kısa vadeli kredi faiz ödemeleri</t>
  </si>
  <si>
    <t xml:space="preserve">Prefinansman ihracat amacı ile kamu kesimince yurtdışında yerleşik ticari kuruluşlardan sağlanan, bankaca aracılık edilen kısa vadeli kredi anapara ödemesi</t>
  </si>
  <si>
    <t xml:space="preserve">Prefinansman ihracat amacı ile kamu kesimince yurtdışında yerleşik ticari kuruluşlardan sağlanan, bankaca aracılık edilen kısa vadeli kredi faiz ödemesi</t>
  </si>
  <si>
    <t xml:space="preserve">Bankaların aracılık ettiği, kamu kesiminin yurtdışında yerleşik ticari kuruluşlardan sağladığı orta-uzun vadeli kredi anapara ödemesi</t>
  </si>
  <si>
    <t xml:space="preserve">Bankaların aracılık ettiği, kamu kesiminin yurtdışında yerleşik ticari kuruluşlardan sağladığı orta-uzun vadeli kredi faiz ödemesi</t>
  </si>
  <si>
    <t xml:space="preserve">Bankaların aracılık ettiği, kamu kesiminin yurtdışında yerleşik ticari kuruluşlardan sağladığı kısa vadeli kredi anapara ödemesi</t>
  </si>
  <si>
    <t xml:space="preserve">Bankaların aracılık ettiği, kamu kesiminin yurtdışında yerleşik ticari kuruluşlardan sağladığı kısa vadeli kredi faiz ödemesi</t>
  </si>
  <si>
    <t xml:space="preserve">Kamu kesimince döviz üzerinden düzenlenerek yurtdışına ihraç edilmiş uzun vadeli (365 günü aşan) tahvil, ticari senet (commercial paper) ve benzeri kıymetli evrak tasfiyesi nedeniyle yurtdışına transfer edilen bedeller</t>
  </si>
  <si>
    <t xml:space="preserve">Kamu kesimince döviz üzerinden düzenlenerek yurtdışına ihraç edilmiş uzun vadeli (365 günü aşan) tahvil, ticari senet (commercial paper) ve benzeri kıymetli evrak nedeniyle yurtdışına transfer edilen faiz ve benzeri ödemeler</t>
  </si>
  <si>
    <t xml:space="preserve">Kamu kesimince döviz üzerinden düzenlenerek yurtdışına ihraç edilmiş kısa vadeli (365 gün ve daha kısa) tahvil, ticari senet (commercial paper) ve benzeri kıymetli evrak tasfiyesi nedeniyle yurtdışına transfer edilen bedeller</t>
  </si>
  <si>
    <t xml:space="preserve">Kamu kesimince döviz üzerinden düzenlenerek yurtdışına ihraç edilmiş kısa vadeli (365 gün ve daha kısa) tahvil, ticari senet (commercial paper) ve benzeri kıymetli evrak nedeniyle yurtdışına transfer edilen faiz ve benzeri ödemeler</t>
  </si>
  <si>
    <t xml:space="preserve">Özel kesime ait kabul kredili (Kabul Kredili Mal Mukabili hariç) ve akreditifli (vadeli) ithalat işleminde, ithalat bedelinin ihracatçıya, vesaikin muhabire verilmesinden 365 gün sonraki bir tarihte ödenecek olması dolayısıyla oluşan uzun vadeli ithalat borcuna ilişkin faiz ödemesi</t>
  </si>
  <si>
    <t xml:space="preserve">Kamu kesimine ait kabul kredili (Kabul Kredili Mal Mukabili hariç) ve akreditifli (vadeli) ithalat işleminde, ithalat bedelinin ihracatçıya, vesaikin muhabire verilmesinden 365 gün sonraki bir tarihte ödenecek olması dolayısıyla oluşan uzun vadeli ithalat borcuna ilişkin faiz ödemes</t>
  </si>
  <si>
    <t xml:space="preserve">Bankaca doğrudan sağlanmamış, geri ödemesine garanti verilmemiş veya kullanıma aracılık edilmemiş, kamu kesimince yurtdışından sağlanmış nakit kısa vadeli kredi anapara ödemesi (Bu kod kullanıldığında; Bölüm G Kısa Vadeli Dış Kredi Aylık Bildirim Formu Açıklamalarında yer alan Kısa Ödeme formu doldurulacaktır.)</t>
  </si>
  <si>
    <t xml:space="preserve">Bankaca doğrudan sağlanmamış, geri ödemesine garanti verilmemiş veya kullanıma aracılık edilmemiş, kamu kesimince yurtdışından sağlanmış nakit kısa vadeli kredi faiz ödemesi (Bu kod kullanıldığında; Bölüm G Kısa Vadeli Dış Kredi Aylık Bildirim Formu Açıklamalarında yer alan Kısa Ödeme formu doldurulacaktır.)</t>
  </si>
  <si>
    <t xml:space="preserve">"Bankaca doğrudan sağlanmamış, geri ödemesine garanti verilmemiş veya kullanıma aracılık edilmemiş, kamu kesimince yurtdışından sağlanmış nakit veya nakit olmayan uzun vadeli kredi anapara ödemesi (Bu kod kullanıldığında; Bölüm F Uzun Vadeli Dış Kredi Aylık Bildirim Form çerçevesinde Geri Ödeme formu doldurulacaktır.)"</t>
  </si>
  <si>
    <t xml:space="preserve">Bankaca doğrudan sağlanmamış, geri ödemesine garanti verilmemiş veya kullanıma aracılık edilmemiş, kamu kesimince yurtdışından sağlanmış nakit veya nakit olmayan uzun vadeli kredi faiz ödemesi (Bu kod kullanıldığında; Bölüm F Uzun Vadeli Dış Kredi Aylık Bildirim Form çerçevesinde Geri Ödeme formu doldurulacaktır.)</t>
  </si>
  <si>
    <t xml:space="preserve">Bankaca doğrudan sağlanmamış, geri ödemesine garanti verilmemiş veya kullanıma aracılık edilmemiş, özel kesimce yurtdışından sağlanmış nakit kısa vadeli kredi anapara ödemesi (Bu kod kullanıldığında; Bölüm G Kısa Vadeli Dış Kredi Aylık Bildirim Formu Açıklamalarında yer alan Kısa Ödeme formu doldurulacaktır.)</t>
  </si>
  <si>
    <t xml:space="preserve">"Bankaca doğrudan sağlanmamış, geri ödemesine garanti verilmemiş veya kullanıma aracılık edilmemiş, özel kesimce yurtdışından sağlanmış nakit kısa vadeli kredi faiz ödemesi (Bu kod kullanıldığında; Bölüm G Kısa Vadeli Dış Kredi Aylık Bildirim Formu Açıklamalarında yer alan Kısa Ödeme formu doldurulacaktır.)"</t>
  </si>
  <si>
    <t xml:space="preserve">"Bankaca doğrudan sağlanmamış, geri ödemesine garanti verilmemiş veya kullanıma aracılık edilmemiş, özel kesimce yurtdışından sağlanmış nakit veya nakit olmayan uzun vadeli kredi anapara ödemesi (Bu kod kullanıldığında; Bölüm F Uzun Vadeli Dış Kredi Aylık Bildirim Form çerçevesinde Geri Ödeme formu doldurulacaktır.)"</t>
  </si>
  <si>
    <t xml:space="preserve">"Bankaca doğrudan sağlanmamış, geri ödemesine garanti verilmemiş veya kullanıma aracılık edilmemiş, özel kesimce yurtdışından sağlanmış nakit veya nakit olmayan uzun vadeli kredi faiz ödemesi (Bu kod kullanıldığında; Bölüm F Uzun Vadeli Dış Kredi Aylık Bildirim Form çerçevesinde Geri Ödeme formu doldurulacaktır.)"</t>
  </si>
  <si>
    <t xml:space="preserve">Bankaca doğrudan sağlanmamış, geri ödemesine garanti verilmemiş veya kullanıma aracılık edilmemiş, yurtiçinden sağlanmış kısa vadeli kredi anapara ödemesi</t>
  </si>
  <si>
    <t xml:space="preserve">Yurt içinden sağlanan kredi; yurt dışına ödeniyorsa.</t>
  </si>
  <si>
    <t xml:space="preserve">Bankaca doğrudan sağlanmamış, geri ödemesine garanti verilmemiş veya kullanıma aracılık edilmemiş, yurtiçinden sağlanmış kısa vadeli kredi faiz ödemesi</t>
  </si>
  <si>
    <t xml:space="preserve">Yurt içinden sağlanan kredi faizi; yurt dışına ödeniyorsa.</t>
  </si>
  <si>
    <t xml:space="preserve">Bankaca doğrudan sağlanmamış, geri ödemesine garanti verilmemiş veya kullanıma aracılık edilmemiş, yurtiçinden sağlanmış uzun vadeli kredi anapara ödemesi</t>
  </si>
  <si>
    <t xml:space="preserve">Bankaca doğrudan sağlanmamış, geri ödemesine garanti verilmemiş veya kullanıma aracılık edilmemiş, yurtiçinden sağlanmış uzun vadeli kredi faiz ödemesi</t>
  </si>
  <si>
    <t xml:space="preserve">Firmalarca yurtdışındaki alıcıdan sağlanan "alıcı firma prefinansmanı" ile "peşin ödeme" şeklinde gelen ihracat bedellerinden, ihracatın gerçekleşmemesi halinde yapılan geri ödeme</t>
  </si>
  <si>
    <t xml:space="preserve">A7A01</t>
  </si>
  <si>
    <t xml:space="preserve">İhracat gerçekleşmediği için alıcıya (Katarlı ithalatçıya) avans iadesi.</t>
  </si>
  <si>
    <t xml:space="preserve">Firmalarca yurtdışındaki alıcıdan sağlanan "alıcı firma prefinansmanı" ile "peşin ödeme" şeklinde gelen ihracat bedellerinden, ihracatın gerçekleşmemesi halinde yapılan geri ödemelere ilişkin faiz ödemesi</t>
  </si>
  <si>
    <t xml:space="preserve">Ön ödeme iadesine ilişkin faiz.</t>
  </si>
  <si>
    <t xml:space="preserve">Şirket, şirket iştiraki, şube ve irtibat bürosu, temsilcilik ve acenta, alınan hisselerin tasfiyesi nedeniyle yurtdışına transfer edilen sermaye bedelleri</t>
  </si>
  <si>
    <t xml:space="preserve">A6A04</t>
  </si>
  <si>
    <t xml:space="preserve">Doğrudan yatırım tasfiyesi. Şube/irtibat bürosu ise A6A03.</t>
  </si>
  <si>
    <t xml:space="preserve">17) Doğrudan Yatırım İşlemleri</t>
  </si>
  <si>
    <t xml:space="preserve">Şirket, şirket iştiraki, şube ve irtibat bürosu, temsilcilik ve acenta, alınmış hisselerden elde edilen gelirlerin yurtdışına transferi (kar transferi)</t>
  </si>
  <si>
    <t xml:space="preserve">A3A06</t>
  </si>
  <si>
    <t xml:space="preserve">Kâr transferi. Hisse temettüsü ise A3A07.</t>
  </si>
  <si>
    <t xml:space="preserve">10) Kar Payı (Temettü) Ödemesi İşlemleri</t>
  </si>
  <si>
    <t xml:space="preserve">Türkiye'de satın alınmış gayrimenkullerin tasfiyesi nedeniyle yurtdışına transfer edilen bedeller</t>
  </si>
  <si>
    <t xml:space="preserve">A6A05</t>
  </si>
  <si>
    <t xml:space="preserve">Türkiye'deki gayrimenkulün tasfiye bedeli.</t>
  </si>
  <si>
    <t xml:space="preserve">18) Gayrimenkul Alım/Satım İşlemleri</t>
  </si>
  <si>
    <t xml:space="preserve">Türkiye'de satın alınmış gayrimenkullerden elde edilen gelirlerin yurtdışına transferi</t>
  </si>
  <si>
    <t xml:space="preserve">Gayrimenkul geliri (kira vb.); QAR'da kira geliri kodu yok.</t>
  </si>
  <si>
    <t xml:space="preserve">3004 döviz giriş istatistik kodu ile mutlaka birlikte kullanılacak olan, Türkiye'deki yatırım ve ticari faaliyetlerden sağlanmış ve sermaye arttırımına dönüşen yurtdışına transfer edilebilir bedeller</t>
  </si>
  <si>
    <t xml:space="preserve">Sermayeye dönüştürülen kâr (3004 ile birlikte); fiili nakit akımı yok.</t>
  </si>
  <si>
    <t xml:space="preserve">Yurtdışında (serbest bölgeler dahil) şirket kurmak, şirkete iştirak etmek, şube, irtibat bürosu, temsilcilik, acenta açmak ve ortaklığı katılmak amacı ile yurtdışına transfer edilen bedeller</t>
  </si>
  <si>
    <t xml:space="preserve">A6A06</t>
  </si>
  <si>
    <t xml:space="preserve">Yurt dışında şirket kurma / iştirak.</t>
  </si>
  <si>
    <t xml:space="preserve">Yurtdışında alınan gayrimenkuller için yurtdışına transfer edilen bedeller</t>
  </si>
  <si>
    <t xml:space="preserve">A6A08</t>
  </si>
  <si>
    <t xml:space="preserve">Yurt dışında gayrimenkul alımı.</t>
  </si>
  <si>
    <t xml:space="preserve">3014 döviz giriş istatistik kodu ile mutlaka birlikte kullanılacak olan, yurtdışındaki yatırım ve ticari faaliyetlerden sağlanan gelirlerin Türkiye'ye transfer edilmeksizin sermaye arttırımında kullanımı</t>
  </si>
  <si>
    <t xml:space="preserve">Yurt dışı gelirin sermaye artırımında kullanımı (3014 ile birlikte).</t>
  </si>
  <si>
    <t xml:space="preserve">Borsada kote edilmiş her türlü menkul kıymet ve Sermaye Piyasası Kurulu'nca ihracına izin verilmiş veya kamu kurum ve kuruluşlarınca ihraç edilmiş menkul kıymetlerin (Hazine Bonosu ve Devlet Tahvili hariç) tasfiyesi nedeniyle yurtdışına transfer edilen bedeller</t>
  </si>
  <si>
    <t xml:space="preserve">A6B01</t>
  </si>
  <si>
    <t xml:space="preserve">Menkul kıymet tasfiyesi; hisse ağırlıklı. Borçlanma senedi ise A6B02.</t>
  </si>
  <si>
    <t xml:space="preserve">15) Menkul Kıymet Yatırım İşlemleri</t>
  </si>
  <si>
    <t xml:space="preserve">Borsada kote edilmiş her türlü menkul kıymet ve Sermaye Piyasası Kurulu'nca ihracına izin verilmiş veya kamu kurum ve kuruluşlarınca ihraç edilmiş menkul kıymetlerden (Hazine Bonosu ve Devlet Tahvili hariç) sağlanan faiz ve benzer gelirlerin yurtdışına transferi</t>
  </si>
  <si>
    <t xml:space="preserve">Menkul kıymet faiz geliri. Temettü ise A3A07.</t>
  </si>
  <si>
    <t xml:space="preserve">Hazine Bonosu ve Devlet Tahvilinin tasfiyesi nedeniyle yurtdışına transfer edilen bedeller</t>
  </si>
  <si>
    <t xml:space="preserve">Hazine bonosu / DİBS tasfiye bedeli.</t>
  </si>
  <si>
    <t xml:space="preserve">Hazine Bonosu ve Devlet Tahvili gelirlerinin yurtdışına transferi</t>
  </si>
  <si>
    <t xml:space="preserve">Bankalar hariç yurtiçinde yerleşik kişilerce, yurtdışı borsalarda kote edilmiş ve yabancı ülkeler tarafından ihraç edilen hazine bonoları, devlet tahvilleri ile borçlanma senedi niteliğindeki her türlü menkul kıymet alımı</t>
  </si>
  <si>
    <t xml:space="preserve">A6B10</t>
  </si>
  <si>
    <t xml:space="preserve">Yabancı ihraççı borçlanma senedi alımı.</t>
  </si>
  <si>
    <t xml:space="preserve">Bankalarca, banka portföyü oluşturmak üzere, yurtdışı borsalarda kote edilmiş ve yabancı ülkeler tarafından ihraç edilen hazine bonoları, devlet tahvilleri ile borçlanma senedi niteliğindeki her türlü menkul kıymet alımı</t>
  </si>
  <si>
    <t xml:space="preserve">Bankalarca, banka portföyü oluşturmak üzere, Hazine Müsteşarlığı tarafından yurtdışında ihraç edilmiş tahvil ve benzeri menkul kıymetlerin alımı</t>
  </si>
  <si>
    <t xml:space="preserve">Türk ihraççıya ait tahvilin Katarlı yatırımcıdan alımı = Katar'ın yurt dışı yatırımının geri dönüşü.</t>
  </si>
  <si>
    <t xml:space="preserve">Bankalarca, banka portföyü oluşturmak üzere, yurtiçinde yerleşik bankalar tarafından yurtdışında ihraç edilmiş tahvil ve benzeri menkul kıymetlerin alımı</t>
  </si>
  <si>
    <t xml:space="preserve">Bankalarca, banka portföyü oluşturmak üzere, bankalar hariç yurtiçinde yerleşik kişiler tarafından yurtdışında ihraç edilmiş tahvil ve benzeri menkul kıymetlerin alımı</t>
  </si>
  <si>
    <t xml:space="preserve">Bankalar hariç yurtiçinde yerleşik kişilerce, Hazine Müsteşarlığı tarafından yurtdışında ihraç edilmiş tahvil ve benzeri menkul kıymetlerin alımı</t>
  </si>
  <si>
    <t xml:space="preserve">Bankalar hariç yurtiçinde yerleşik kişilerce, yurtiçinde yerleşik bankalar tarafından yurtdışında ihraç edilmiş tahvil ve benzeri menkul kıymetlerin alımı</t>
  </si>
  <si>
    <t xml:space="preserve">Bankalar hariç yurtiçinde yerleşik kişilerce, bankalar hariç yurtiçinde yerleşik kişiler tarafından yurtdışında ihraç edilmiş tahvil ve benzeri menkul kıymetlerin alımı</t>
  </si>
  <si>
    <t xml:space="preserve">Bankalar hariç yurtiçinde yerleşik kişilerce, yurtdışı borsalarda kote edilmiş ve yabancı ülkeler tarafından ihraç edilen hisse senedi alımı</t>
  </si>
  <si>
    <t xml:space="preserve">A6B09</t>
  </si>
  <si>
    <t xml:space="preserve">Yurt dışı hisse senedi alımı.</t>
  </si>
  <si>
    <t xml:space="preserve">12) Hisse Senedi Yatırım İşlemleri</t>
  </si>
  <si>
    <t xml:space="preserve">Bankalarca, banka portföyü oluşturmak üzere, yurtdışı borsalarda kote edilmiş ve yabancı ülkeler tarafından ihraç edilen hisse senedi alımı</t>
  </si>
  <si>
    <t xml:space="preserve">Bankalar hariç yurtiçinde yerleşik kişilerce, yurtdışı yatırım fonu payı alımı</t>
  </si>
  <si>
    <t xml:space="preserve">Yatırım fonu payı alımı. Borçlanma araçları fonu ise A6B10.</t>
  </si>
  <si>
    <t xml:space="preserve">14) Fon Yatırımları</t>
  </si>
  <si>
    <t xml:space="preserve">Bankalarca banka portföyü oluşturmak üzere yurtdışı yatırım fonu payı alımı</t>
  </si>
  <si>
    <t xml:space="preserve">Bankalar hariç yurtiçinde yerleşik kişilerce, yurtiçinde ihraç edilmiş ve döviz üzerinden düzenlenmiş tahvil ve benzeri menkul kıymetlerin alımı</t>
  </si>
  <si>
    <t xml:space="preserve">Bankalarca, banka portföyü oluşturmak üzere, yurtiçinde ihraç edilmiş ve döviz üzerinden düzenlenmiş tahvil ve benzeri menkul kıymetlerin alımı</t>
  </si>
  <si>
    <t xml:space="preserve">Bankalarca, banka portföyü oluşturmak üzere alınan, Hazine Müsteşarlığı tarafından yurtdışında ihraç edilmiş tahvil ve benzeri menkul kıymetlerle gerçekleştirilen yurtdışı TERS REPO işlemleri nedeniyle transfer edilen bedeller</t>
  </si>
  <si>
    <t xml:space="preserve">A6C13</t>
  </si>
  <si>
    <t xml:space="preserve">Ters repo = karşı tarafa kısa vadeli fon kullandırımı.</t>
  </si>
  <si>
    <t xml:space="preserve">Bankalarca, banka portföyü oluşturmak üzere alınan, (Hazine Müsteşarlığı tarafından yurtdışında ihraç edilenler hariç) yurtdışında ihraç edilmiş tahvil ve benzeri menkul kıymetlerle gerçekleştirilen yurtdışı TERS REPO işlemleri nedeniyle transfer edilen bedeller</t>
  </si>
  <si>
    <t xml:space="preserve">Bankalarca, banka portföyü oluşturmak üzere alınan, yurtdışında ihraç edilmiş tahvil ve benzeri menkul kıymetlerle gerçekleştirilen yurtiçi TERS REPO işlemleri nedeniyle transfer edilen bedeller</t>
  </si>
  <si>
    <t xml:space="preserve">Bankalarca, banka portföyü oluşturmak üzere alınan, yurtiçinde ihraç edilmiş tahvil ve benzeri menkul kıymetlerle gerçekleştirilen yurtdışı TERS REPO işlemleri nedeniyle transfer edilen bedeller</t>
  </si>
  <si>
    <t xml:space="preserve">Bankalarca, banka portföyü oluşturmak üzere alınan, döviz üzerinden düzenlenmiş ve yurtiçinde ihraç edilmiş tahvil ve benzeri menkul kıymetlerle gerçekleştirilen yurtiçi TERS REPO işlemleri nedeniyle transfer edilen bedeller</t>
  </si>
  <si>
    <t xml:space="preserve">Bankalarca, banka portföyü oluşturmak üzere alınan, Hazine Müsteşarlığı tarafından yurtdışında ihraç edilmiş tahvil ve benzeri menkul kıymetlerle gerçekleştirilen yurtdışı REPO işlemlerinin geri dönüşü nedeniyle transfer edilen bedeller</t>
  </si>
  <si>
    <t xml:space="preserve">Repo geri dönüşü = alınan fonun geri ödenmesi.</t>
  </si>
  <si>
    <t xml:space="preserve">Bankalarca, banka portföyü oluşturmak üzere alınan, Hazine Müsteşarlığı tarafından yurtdışında ihraç edilmiş tahvil ve benzeri menkul kıymetlerle gerçekleştirilen yurtdışı REPO işlemleri faiz gideri</t>
  </si>
  <si>
    <t xml:space="preserve">Repo faiz gideri.</t>
  </si>
  <si>
    <t xml:space="preserve">Bankalarca, banka portföyü oluşturmak üzere alınan, (Hazine Müsteşarlığı tarafından yurtdışında ihraç edilenler hariç) yurtdışında ihraç edilmiş tahvil ve benzeri menkul kıymetlerle gerçekleştirilen yurtdışı REPO işlemlerinin geri dönüşü nedeniyle transfer edilen bedeller</t>
  </si>
  <si>
    <t xml:space="preserve">Bankalarca, banka portföyü oluşturmak üzere alınan (Hazine Müsteşarlığı tarafından yurtdışında ihraç edilenler hariç) yurtdışında ihraç edilmiş tahvil ve benzeri menkul kıymetlerle gerçekleştirilen yurtdışı REPO işlemleri faiz gideri</t>
  </si>
  <si>
    <t xml:space="preserve">Bankalarca banka portföyü oluşturmak üzere alınan, yurtdışında ihraç edilmiş tahvil ve benzeri menkul kıymetlerle gerçekleştirilen yurtiçi REPO işlemlerinin geri dönüşü nedeniyle transfer edilen bedeller</t>
  </si>
  <si>
    <t xml:space="preserve">Bankalarca, banka portföyü oluşturmak üzere alınan, yurtdışında ihraç edilmiş tahvil ve benzeri menkul kıymetlerle gerçekleştirilen yurtiçi REPO işlemleri faiz gideri</t>
  </si>
  <si>
    <t xml:space="preserve">Bankalarca, banka portföyü oluşturmak üzere alınan, yurtiçinde ihraç edilmiş tahvil ve benzeri menkul kıymetlerle gerçekleştirilen yurtdışı REPO işlemlerinin geri dönüşü nedeniyle transfer edilen bedeller</t>
  </si>
  <si>
    <t xml:space="preserve">Bankalarca, banka portföyü oluşturmak üzere alınan, yurtiçinde ihraç edilmiş tahvil ve benzeri menkul kıymetlerle gerçekleştirilen yurtdışı REPO işlemleri faiz gideri</t>
  </si>
  <si>
    <t xml:space="preserve">Bankalarca, banka portföyü oluşturmak üzere alınan, yurtiçinde ihraç edilmiş tahvil ve benzeri menkul kıymetlerle gerçekleştirilen yurtiçi REPO işlemlerinin geri dönüşü nedeniyle transfer edilen bedeller</t>
  </si>
  <si>
    <t xml:space="preserve">Bankalarca, banka portföyü oluşturmak üzere alınan, yurtiçinde ihraç edilmiş tahvil ve benzeri menkul kıymetlerle gerçekleştirilen yurtiçi REPO işlemleri faiz gideri</t>
  </si>
  <si>
    <t xml:space="preserve">TPKK hakkında 32 Sayılı Karar gereğince yurtdışına doğrudan verilen (yurtdışında iş yapan müteahhitler hariç) kısa vadeli krediler</t>
  </si>
  <si>
    <t xml:space="preserve">Yurt dışına verilen kısa vadeli kredi/plasman.</t>
  </si>
  <si>
    <t xml:space="preserve">TPKK hakkında 32 Sayılı Karar gereğince yurtdışına doğrudan verilen (yurtdışında iş yapan müteahhitler hariç) uzun vadeli krediler</t>
  </si>
  <si>
    <t xml:space="preserve">A6C12</t>
  </si>
  <si>
    <t xml:space="preserve">Yurt dışına verilen orta-uzun vadeli kredi.</t>
  </si>
  <si>
    <t xml:space="preserve">TPKK hakkında 32 Sayılı Karara uygun olarak, yurtdışında yerleşik bir bankanın liderliğinde veya ajanlığında kurulmuş ve doğrudan yurtdışına kullandırılmak üzere hazırlanan sendikasyon kredisine katılım olarak verilen kısa vadeli krediler</t>
  </si>
  <si>
    <t xml:space="preserve">TPKK hakkında 32 Sayılı Karara uygun olarak, yurtdışında yerleşik bir bankanın liderliğinde veya ajanlığında kurulmuş ve doğrudan yurtdışına kullandırılmak üzere hazırlanan sendikasyon kredisine katılım olarak verilen uzun vadeli krediler</t>
  </si>
  <si>
    <t xml:space="preserve">TPKK hakkında 32 sayılı karara uygun olarak, yurtdışında yerleşik bir bankanın liderliğinde veya ajanlığında kurulmuş ve doğrudan yurtiçindeki özel veya kamu kuruşuna kullandırılmak üzere hazırlanan sendikasyon kredisine katılım olarak verilen kısa vadeli krediler</t>
  </si>
  <si>
    <t xml:space="preserve">Kısa vadeli kredi; yurt içine kullandırılan kısım yurt dışına transfer ediliyorsa.</t>
  </si>
  <si>
    <t xml:space="preserve">TPKK hakkında 32 sayılı karara uygun olarak, yurtdışında yerleşik bir bankanın liderliğinde veya ajanlığında kurulmuş ve doğrudan yurtiçindeki özel veya kamu kuruşuna kullandırılmak üzere hazırlanan sendikasyon kredisine katılım olarak verilen uzun vadeli krediler</t>
  </si>
  <si>
    <t xml:space="preserve">Uzun vadeli kredi; yurt içine kullandırılan kısım yurt dışına transfer ediliyorsa.</t>
  </si>
  <si>
    <t xml:space="preserve">TPKK hakkında 32 Sayılı Karar gereğince yurtdışında iş yapan müteşebbislerin ve ödemeleri dövizle yapılacak uluslararası ihalelerle ilgili işleri üslenen Türkiye'deki kişilere açılan kısa vadeli döviz kredileri</t>
  </si>
  <si>
    <t xml:space="preserve">TPKK hakkında 32 Sayılı Karar gereğince yurtdışında iş yapan müteşebbislerin ve ödemeleri dövizle yapılacak uluslararası ihalelerle ilgili işleri üslenen Türkiye'deki kişilere açılan uzun vadeli döviz kredileri</t>
  </si>
  <si>
    <t xml:space="preserve">TPKK hakkında 32 Sayılı Karar gereğince Hazine Müsteşarlığı'nın ön iznine bağlı olarak yurtdışına verilen kısa vadeli krediler</t>
  </si>
  <si>
    <t xml:space="preserve">TPKK hakkında 32 Sayılı Karar gereğince Hazine Müsteşarlığı'nın ön iznine bağlı olarak yurtdışına verilen uzun vadeli krediler</t>
  </si>
  <si>
    <t xml:space="preserve">TPKK hakkında 32 Sayılı Karara uygun olarak, bankanızın liderliğinde veya ajanlığında kurulmuş ve doğrudan yurtdışına verilen kısa vadeli sendikasyon kredileri</t>
  </si>
  <si>
    <t xml:space="preserve">TPKK hakkında 32 Sayılı Karara uygun olarak, bankanızın liderliğinde veya ajanlığında kurulmuş ve doğrudan yurtdışına verilen uzun vadeli sendikasyon kredi</t>
  </si>
  <si>
    <t xml:space="preserve">TPKK hakkında 32 Sayılı Karara uygun olarak, yurtiçinde yerleşik bir bankanın liderliğinde veya ajanlığında kurulmuş yurtdışında veya yurtiçindeki özel veya kamu kuruluşuna kullandırılmak üzere hazırlanan sendikasyon kredisine katılım olarak verilen kısa vadeli krediler</t>
  </si>
  <si>
    <t xml:space="preserve">TPKK hakkında 32 Sayılı Karara uygun olarak, yurtiçinde yerleşik bir bankanın liderliğinde veya ajanlığında kurulmuş yurtdışında veya yurtiçindeki özel veya kamu kuruluşuna kullandırılmak üzere hazırlanan sendikasyon kredisine katılım olarak verilen uzun vadeli krediler</t>
  </si>
  <si>
    <t xml:space="preserve">TPKK hakkında 32 Sayılı Karara uygun olarak, yurtiçindeki bir bankaya doğrudan (sendikasyona katılım hariç) verilen kısa vadeli krediler</t>
  </si>
  <si>
    <t xml:space="preserve">TPKK hakkında 32 Sayılı Karara uygun olarak, yurtiçindeki bir bankaya doğrudan (sendikasyona katılım hariç) verilen uzun vadeli krediler</t>
  </si>
  <si>
    <t xml:space="preserve">TPKK hakkında 32 Sayılı Karara uygun olarak yurtiçine, yurtiçindeki bankalar hariç, doğrudan (sendikasyona katılım hariç) verilen kısa vadeli krediler</t>
  </si>
  <si>
    <t xml:space="preserve">TPKK hakkında 32 Sayılı Karara uygun olarak yurtiçine, yurtiçindeki bankalar hariç, doğrudan (sendikasyona katılım hariç) verilen uzun vadeli krediler</t>
  </si>
  <si>
    <t xml:space="preserve">Yurtdışında muhabir ilişkisi olmayan diğer banka ve finans kuruluşlarına yapılan kısa vadeli plasmanlar ("overnight", "spot-next" ve "tomorrow-next" plasmanlar hariç)</t>
  </si>
  <si>
    <t xml:space="preserve">Yurtiçinde yerleşik ana şirket tarafından yurtdışında yerleşik iştirake verilen kısa ve uzun vadeli krediler.</t>
  </si>
  <si>
    <t xml:space="preserve">A6A07</t>
  </si>
  <si>
    <t xml:space="preserve">Ana şirketten yurt dışı iştirake kredi = doğrudan yatırım borç enstrümanı.</t>
  </si>
  <si>
    <t xml:space="preserve">Türkiyede yerleşik yabancı sermayeli şirket tarafından yurtdışında yerleşik ana şirkete verilen kısa ve uzun vadeli krediler.</t>
  </si>
  <si>
    <t xml:space="preserve">Ana ortak/grup şirketine kredi (ters yatırım); QAR'da ayrı kod yok.</t>
  </si>
  <si>
    <t xml:space="preserve">Türkiyede yerleşik yabancı sermayeli grup şirketi tarafından yurtdışında yerleşik diğer bir grup şirketine (yurtiçinde yerleşik yabancı sermayeli bir şirkette %10dan fazla paya sahip olan yabancı ortağın yurtdışında sahip olduğu ilişkili şirket)</t>
  </si>
  <si>
    <t xml:space="preserve">Yurtdışında yerleşik kişiler (banka hariç, yurtdışında çalışan işçiler dahil) tarafından açılmış D.T.H'larından (TPKK Hakkında 32 sayılı Kararın 14. maddesi kapsamında olanlar dahil) 50.000.- ABD doları ve eşiti döviz tutarından fazla dövizin geri ödenmesi (yurtdışına transfer edilmesi)</t>
  </si>
  <si>
    <t xml:space="preserve">Yurt dışı yerleşiklerin DTH'larından transfer (aile geçimi/birikim).</t>
  </si>
  <si>
    <t xml:space="preserve">19) Kendi veya aile bireylerinin (gerçek kişi) yabancı ülkedeki mevduat hesabına gönderim; 20) Yabancı ülkedeki kendi veya ilişkili şirket (tüzel kişi) mevduat hesabına gönderim</t>
  </si>
  <si>
    <t xml:space="preserve">Yurtdışında yerleşik kişiler (banka hariç, yurtdışında çalışan işçiler dahil) tarafından açılmış D.T.H'dan, içeriğine bağlı olarak Türk lirası karşılığı alımı yapılan mevduatlar</t>
  </si>
  <si>
    <t xml:space="preserve">TL karşılığı alım; işlemin içeriğine göre değişebilir.</t>
  </si>
  <si>
    <t xml:space="preserve">Yurtdışında yerleşik kişiler (banka hariç, yurtdışında çalışan işçiler dahil) tarafından açılmış D.T.H'larından (TPKK Hakkında 32 sayılı Kararın 14. maddesi kapsamında olanlar dahil) 50.000.- ABD doları ve eşiti döviz tutarına kadar dövizin geri ödenmesi (yurtdışına transfer edilmesi)</t>
  </si>
  <si>
    <t xml:space="preserve">Yurtiçinde yerleşik kişiler (banka hariç) tarafından açılmış D.T.H'dan ithalat, görünmeyen işlemler ve sermaye hareketlerinin finansmanını karşılamak amacıyla yapılan mevduat geri ödemesi (bu kod mutlaka "3503" kodu ile birlikte kullanılacaktır.)</t>
  </si>
  <si>
    <t xml:space="preserve">A6C14</t>
  </si>
  <si>
    <t xml:space="preserve">İşlemin içeriğine göre (ithalat/görünmeyen) farklı QAR kodu gerekebilir.</t>
  </si>
  <si>
    <t xml:space="preserve">Yurtiçinde yerleşik kişiler (banka hariç) tarafından açılmış D.T.H'dan, içeriğine bağlı olarak Türk lirası karşılığı alımı yapılan mevduatlar (Bu kod ile birlikte mutlaka işlemin içeriğine göre bir döviz giriş kodu kullanılacaktır.)</t>
  </si>
  <si>
    <t xml:space="preserve">Merkez Bankası döviz ve efektif piyasaları ile bankalararası para piyasasında işlem yapabilmek için tesis edilen döviz teminatları</t>
  </si>
  <si>
    <t xml:space="preserve">Yurt dışına yatırılan teminat, karşı tarafta yurt dışı yerleşik mevduatı/teminatı olarak.</t>
  </si>
  <si>
    <t xml:space="preserve">8) Teminat İşlemleri (Finansal Ürün İlişkili)</t>
  </si>
  <si>
    <t xml:space="preserve">Merkez Bankası ile döviz alacaklısı olarak yapılan swap işlemlerinin açılması</t>
  </si>
  <si>
    <t xml:space="preserve">A6C15</t>
  </si>
  <si>
    <t xml:space="preserve">Merkez Bankası/bankalararası swap; QAR'da swap kodu yok.</t>
  </si>
  <si>
    <t xml:space="preserve">3) Döviz Swap İşlemleri</t>
  </si>
  <si>
    <t xml:space="preserve">Merkez Bankası ile döviz borçlusu olarak yapılmış swap işlemlerinin kapatılması</t>
  </si>
  <si>
    <t xml:space="preserve">Merkez Bankası tarafından yapılmış plasmanların iade edilmesi (kredi hariç mevduat, depo ve benzeri hesaplar)</t>
  </si>
  <si>
    <t xml:space="preserve">Merkez Bankası plasmanının iadesi.</t>
  </si>
  <si>
    <t xml:space="preserve">Yurtiçinde yerleşik kişiler (banka hariç) tarafından açılmış D.T.H.'dan ithalat, görünmeyen işlemler ve sermaye hareketlerine bağlı olmaksızın yurtdışına transfer edilen (TPKK Hakkında 32 sayılı Kararın 14. maddesi kapsamında olanlar dahil) 50.000 ABD doları veya eşiti döviz tutarından fazla (50.000 ABD doları veya eşiti döviz dahil) mevduat geri ödemesi.</t>
  </si>
  <si>
    <t xml:space="preserve">Yerleşiklerin yurt dışındaki kendi/şirket mevduat hesabına transfer.</t>
  </si>
  <si>
    <t xml:space="preserve">Yurtiçinde yerleşik kişiler (banka hariç) tarafından açılmış D.T.H.'dan ithalat, görünmeyen işlemler ve sermaye hareketlerine bağlı olmaksızın yurtdışına transfer edilen (TPKK Hakkında 32 sayılı Kararın 14. maddesi kapsamında olanlar dahil) 50.000 ABD doları veya eşiti döviz tutarına kadar mevduat geri ödemesi.</t>
  </si>
  <si>
    <t xml:space="preserve">Bankanın kendi adına girdiği bir finansal türev sözleşmesi için yurtdışına transfer edilen teminat</t>
  </si>
  <si>
    <t xml:space="preserve">Bankanın yurtiçinde yerleşik müşterisi hesabına finansal türev sözleşmesinde pozisyon açmak için yurtdışına transfer edilen teminat</t>
  </si>
  <si>
    <t xml:space="preserve">3) Döviz Swap İşlemleri; 8) Teminat İşlemleri (Finansal Ürün İlişkili)</t>
  </si>
  <si>
    <t xml:space="preserve">Bankanın yurtdışında yerleşik banka adına Borsa İstanbula yatırdığı teminatının geri dönüşü</t>
  </si>
  <si>
    <t xml:space="preserve">Teminat iadesi; QAR'da ayrı teminat iadesi kodu yok.</t>
  </si>
  <si>
    <t xml:space="preserve">Bankanın yurtdışında yerleşik müşterisi adına Borsa İstanbula yatırdığı teminatının geri dönüşü</t>
  </si>
  <si>
    <t xml:space="preserve">Yurtdışı yerleşik kişiler ile girilen bir finansal türev sözleşmesi için banka tarafından alınan teminatın geri dönüşü</t>
  </si>
  <si>
    <t xml:space="preserve">Bankanın yurtiçinde yerleşik müşterisi ya da kendi adına girdiği bir finansal türev sözleşmesi için transfer edilen teminat</t>
  </si>
  <si>
    <t xml:space="preserve">Yurtiçi yerleşik kişiler ile girilen bir finansal türev sözleşmesi için banka tarafından alınan teminatın geri dönüşü</t>
  </si>
  <si>
    <t xml:space="preserve">Bankanın kendi adına yurtdışı yerleşik kişiler ile gerçekleştirdiği forward, futures ve swap işlemlerinden işlemlerinden elde ettiği zarar</t>
  </si>
  <si>
    <t xml:space="preserve">Türev işlem kâr/zarar ödemesi; QAR'da türev kodu yok. Forward iptali ise A2F01 de düşünülebilir.</t>
  </si>
  <si>
    <t xml:space="preserve">T7630</t>
  </si>
  <si>
    <t xml:space="preserve">Bankanın kendi adına yurtdışı yerleşik kişiler ile gerçekleştirdiği forward, futures ve swap işlemleri için, muhabir hesaplarına yansımayan ancak teminat hesapları, müşteri hesapları, geçici hesaplar vb. diğer hesaplarda muhasebeleştirilen zarar</t>
  </si>
  <si>
    <t xml:space="preserve">Bankanın kendi adına yurtdışı yerleşik kişiler ile gerçekleştirdiği opsiyon tipi işlem sonucu elde ettiği zarar</t>
  </si>
  <si>
    <t xml:space="preserve">T7631</t>
  </si>
  <si>
    <t xml:space="preserve">Bankanın kendi adına yurtdışı yerleşik kişiler ile gerçekleştirdiği opsiyon tipi işlemler için, muhabir hesaplarına yansımayan ancak teminat hesapları, müşteri hesapları, geçici hesaplar vb. diğer hesaplarda muhasebeleştirilen zarar</t>
  </si>
  <si>
    <t xml:space="preserve">Bankanın yurtiçinde yerleşik müşterisi adına yurtdışı yerleşik kişiler ile gerçekleştirdiği forward, futures ve swap işlemlerinden elde edilen zarar</t>
  </si>
  <si>
    <t xml:space="preserve">Bankanın yurtiçinde yerleşik müşterisi adına yurtdışı yerleşik kişiler ile gerçekleştirdiği opsiyon-tipi işlemlerden elde edilen zarar</t>
  </si>
  <si>
    <t xml:space="preserve">Bankanın yurtdışında yerleşik müşterisi adına yurtiçi yerleşik kişiler ile gerçekleştirdiği forward, futures ve swap işlemlerinden elde edilen kar transferi</t>
  </si>
  <si>
    <t xml:space="preserve">Bankanın yurtdışında yerleşik müşterisi adına yurtiçi yerleşik kişiler ile gerçekleştirdiği opsiyon-tipi işlemlerden elde edilen kar transferi</t>
  </si>
  <si>
    <t xml:space="preserve">Bankanın kendi adına yurtiçi yerleşik kişiler ile gerçekleştirdiği her türlü türev işlemlerinden elde ettiği zarar ve ödenen opsiyon primi</t>
  </si>
  <si>
    <t xml:space="preserve">Bankanın kendi adına satın aldığı opsiyon sözleşmesi için yurtdışına transfer edilen prim</t>
  </si>
  <si>
    <t xml:space="preserve">Opsiyon primi; QAR'da türev/opsiyon kodu yok.</t>
  </si>
  <si>
    <t xml:space="preserve">5) Döviz Opsiyon İşlemleri</t>
  </si>
  <si>
    <t xml:space="preserve">Bankanın yurtiçinde yerleşik müşterisi hesabına satın aldığı opsiyon sözleşmesi için yurtdışına transfer edilen prim</t>
  </si>
  <si>
    <t xml:space="preserve">Bankanın yurtdışında yerleşik müşterisi adına yurtiçine sattığı opsiyon sözleşmesi priminin yurtdışına transferi</t>
  </si>
  <si>
    <t xml:space="preserve">Alınan efektif karşılığı yurtdışına yapılan transferler (TPKK Hakkında 32 sayılı kararın 14. maddesi kapsamında olanlar dahil)</t>
  </si>
  <si>
    <t xml:space="preserve">Efektif karşılığı yurt dışı hesaba transfer.</t>
  </si>
  <si>
    <t xml:space="preserve">Yurtdışından gelen Türk lirası karşılığı ödenen dövizler</t>
  </si>
  <si>
    <t xml:space="preserve">Yurt dışından gelen TL karşılığı ödenen döviz.</t>
  </si>
  <si>
    <t xml:space="preserve">Teminat olarak alınmış dövizlerin iadesi</t>
  </si>
  <si>
    <t xml:space="preserve">Teminat olarak alınmış dövizin iadesi.</t>
  </si>
  <si>
    <t xml:space="preserve">Bankalararası Türk lirası karşılığı satılan dövizler (swap işlemleri nedeniyle)</t>
  </si>
  <si>
    <t xml:space="preserve">İadesi yapılan dövizler</t>
  </si>
  <si>
    <t xml:space="preserve">A7B02</t>
  </si>
  <si>
    <t xml:space="preserve">İade edilen dövizler.</t>
  </si>
  <si>
    <t xml:space="preserve">Akreditif iadeleri</t>
  </si>
  <si>
    <t xml:space="preserve">Akreditif iadesi (Katarlı ithalatçıya).</t>
  </si>
  <si>
    <t xml:space="preserve">Arbitraj</t>
  </si>
  <si>
    <t xml:space="preserve">Bankalararası arbitraj; QAR'da arbitraj kodu yok, banka hesapları arası akım olarak.</t>
  </si>
  <si>
    <t xml:space="preserve">1) Spot Döviz İşlemleri</t>
  </si>
  <si>
    <t xml:space="preserve">Türkiye dışında yapılan ihracat-ithalat işlemleri ile ilgili döviz transferleri</t>
  </si>
  <si>
    <t xml:space="preserve">A2J01</t>
  </si>
  <si>
    <t xml:space="preserve">Türkiye dışında yapılan transit ticaret (merchanting).</t>
  </si>
  <si>
    <t xml:space="preserve">Purpose of Payment Narration (EN)</t>
  </si>
  <si>
    <t xml:space="preserve">Eşleşen İst. Kodu Sayısı</t>
  </si>
  <si>
    <t xml:space="preserve">Value of export bills negotiated/purchased/discounted etc</t>
  </si>
  <si>
    <t xml:space="preserve">Realization of export bills (in respect of goods) sent on collection (full invoice value)</t>
  </si>
  <si>
    <t xml:space="preserve">Advance receipts against export contracts (export of goods only)</t>
  </si>
  <si>
    <t xml:space="preserve">Freight on exports-shipping companies</t>
  </si>
  <si>
    <t xml:space="preserve">Freight on exports-airlines companies</t>
  </si>
  <si>
    <t xml:space="preserve">Inward remittance on account of surplus freight/passenger fare by Qatari shipping companies operating abroad</t>
  </si>
  <si>
    <t xml:space="preserve">A2A02</t>
  </si>
  <si>
    <t xml:space="preserve">Operating expenses of foreign shipping companies operating in Qatar</t>
  </si>
  <si>
    <t xml:space="preserve">A2A05</t>
  </si>
  <si>
    <t xml:space="preserve">Receipt towards operational leasing (with crew) shipping companies</t>
  </si>
  <si>
    <t xml:space="preserve">Inward remittance of surplus freight/passenger fare by Qatari airlines companies operating abroad</t>
  </si>
  <si>
    <t xml:space="preserve">A2A08</t>
  </si>
  <si>
    <t xml:space="preserve">Receipts on account of operating expenses of foreign airlines companies operating in Qatar</t>
  </si>
  <si>
    <t xml:space="preserve">A2A11</t>
  </si>
  <si>
    <t xml:space="preserve">Receipts towards operational leasing (with crew) airlines companies</t>
  </si>
  <si>
    <t xml:space="preserve">Receipts towards other transportation services (stevedoring demurrage port handling charges etc</t>
  </si>
  <si>
    <t xml:space="preserve">Inward remittance towards business travel includes purchases of foreign tcs,currency notes etc. Over the counter by hotels,hospitals,emporium</t>
  </si>
  <si>
    <t xml:space="preserve">A2B08</t>
  </si>
  <si>
    <t xml:space="preserve">Fc surrendered by the returning Qatari resident tourists</t>
  </si>
  <si>
    <t xml:space="preserve">Receipts on account of life insurance premium</t>
  </si>
  <si>
    <t xml:space="preserve">Receipts on account of freight insurance relating to import &amp; export goods</t>
  </si>
  <si>
    <t xml:space="preserve">Receipts of other general insurance premium</t>
  </si>
  <si>
    <t xml:space="preserve">Receipts on account of reinsurance premium</t>
  </si>
  <si>
    <t xml:space="preserve">Receipts on account of auxiliary services (commission on insurance)</t>
  </si>
  <si>
    <t xml:space="preserve">A2C06</t>
  </si>
  <si>
    <t xml:space="preserve">Receipts on account of settlement of claims</t>
  </si>
  <si>
    <t xml:space="preserve">Inward remittance towards meeting the cost of construction of projects in Qatar</t>
  </si>
  <si>
    <t xml:space="preserve">A2E01</t>
  </si>
  <si>
    <t xml:space="preserve">Receipts on account of hardware consultancy</t>
  </si>
  <si>
    <t xml:space="preserve">Receipts on account of software implementation</t>
  </si>
  <si>
    <t xml:space="preserve">A2E03</t>
  </si>
  <si>
    <t xml:space="preserve">Receipts on account of database data processing charges</t>
  </si>
  <si>
    <t xml:space="preserve">Receipts on account of repair and maintenance of computer and software</t>
  </si>
  <si>
    <t xml:space="preserve">Receipts on account of provision of news agency services</t>
  </si>
  <si>
    <t xml:space="preserve">Receipts on account of other information services-subscription to newspapers, periodicals etc.</t>
  </si>
  <si>
    <t xml:space="preserve">Receipts on account of financial intermediation except investment banking-bank charges, collection charges,lc charges, cancellation of forward</t>
  </si>
  <si>
    <t xml:space="preserve">Receipts on account of investment banking services-brokerage, under writing commission etc</t>
  </si>
  <si>
    <t xml:space="preserve">A2F03</t>
  </si>
  <si>
    <t xml:space="preserve">Receipts on account of auxiliary financial services-charges on operation &amp; regulatory fees, custodial services, depository services etc</t>
  </si>
  <si>
    <t xml:space="preserve">Inward remittance received for maintenance of foreign embassies in Qatar</t>
  </si>
  <si>
    <t xml:space="preserve">A2G03</t>
  </si>
  <si>
    <t xml:space="preserve">Inward remittance for maintenance of offices of international institutions (such as imf,ibrd (world bank),unicef,unesco,who etc) in Qatar</t>
  </si>
  <si>
    <t xml:space="preserve">incoming remittances on account of government services</t>
  </si>
  <si>
    <t xml:space="preserve">Receipts for audio-visual and related services services and associated fees related to production of motion pictures,rentals,fees received b</t>
  </si>
  <si>
    <t xml:space="preserve">Receipts towards personal cultural services such as those related to museums libraries archives and sporting activities also includes fees</t>
  </si>
  <si>
    <t xml:space="preserve">Merchanting services - net receipt (from sale &amp; purchase of goods without crossing the border)</t>
  </si>
  <si>
    <t xml:space="preserve">Trade related services - commission on exports/imports</t>
  </si>
  <si>
    <t xml:space="preserve">Receipts towards dry operational leasing services (other than financial leasing and without operating crew) including charter hire</t>
  </si>
  <si>
    <t xml:space="preserve">Receipts towards legal services</t>
  </si>
  <si>
    <t xml:space="preserve">Receipts for providing accounting,auditing,book keeping and tax consulting services</t>
  </si>
  <si>
    <t xml:space="preserve">Receipts for provision of business and management consultancy and public relations services</t>
  </si>
  <si>
    <t xml:space="preserve">Receipts for advertising, trade fair, market research and public opinion polling service</t>
  </si>
  <si>
    <t xml:space="preserve">Receipts towards research &amp; development services</t>
  </si>
  <si>
    <t xml:space="preserve">Receipts for providing architectural engineering and other technical services</t>
  </si>
  <si>
    <t xml:space="preserve">Receipts for agricultural, mining and onsite processing services protection against insects &amp; disease, increasing of harvest yields, forestry s</t>
  </si>
  <si>
    <t xml:space="preserve">Inward remittance for maintenance of offices in Qatar</t>
  </si>
  <si>
    <t xml:space="preserve">A2J12</t>
  </si>
  <si>
    <t xml:space="preserve">Inward remit. Towards distribution services</t>
  </si>
  <si>
    <t xml:space="preserve">Inward remit. Towards environmental services</t>
  </si>
  <si>
    <t xml:space="preserve">Receipts for other services not included elsewhere</t>
  </si>
  <si>
    <t xml:space="preserve">A2K01</t>
  </si>
  <si>
    <t xml:space="preserve">Receipts on account of settlement of claims for postal services</t>
  </si>
  <si>
    <t xml:space="preserve">Receipts on account of settlement of claims for courier services</t>
  </si>
  <si>
    <t xml:space="preserve">Receipts on account of settlement of claims for telecommunication services</t>
  </si>
  <si>
    <t xml:space="preserve">Receipts on account of franchises services-use of patents, copy right trade marks, industrial processes, franchises etc.</t>
  </si>
  <si>
    <t xml:space="preserve">Receipts for use through licensing arrangements of produced originals or prototypes (such as manuscripts and films)</t>
  </si>
  <si>
    <t xml:space="preserve">Inwards remittance towards interest on loans extended to non residents (st/mt/lt loans)</t>
  </si>
  <si>
    <t xml:space="preserve">Inwards remittance of interest on debt securities debentures/bonds/frns etc</t>
  </si>
  <si>
    <t xml:space="preserve">Inwards remittance towards interest receipts of ads on their own account (on investments)</t>
  </si>
  <si>
    <t xml:space="preserve">Remittance towards repatriation of profits to Qatar</t>
  </si>
  <si>
    <t xml:space="preserve">A3A07</t>
  </si>
  <si>
    <t xml:space="preserve">Remittance towards receipt of dividends by Qatari residents</t>
  </si>
  <si>
    <t xml:space="preserve">Inward remittance from the Qatari non residents towards family maintenance and savings</t>
  </si>
  <si>
    <t xml:space="preserve">Inward remittance towards personal gifts and donations</t>
  </si>
  <si>
    <t xml:space="preserve">A4B03</t>
  </si>
  <si>
    <t xml:space="preserve">Donations to religious &amp; charitable institutions in Qatar</t>
  </si>
  <si>
    <t xml:space="preserve">Inward remittance towards grants and donations to government and charitable institution established by the governments</t>
  </si>
  <si>
    <t xml:space="preserve">Receipts towards receipts/refund of taxes</t>
  </si>
  <si>
    <t xml:space="preserve">Compensation of employees (short term)</t>
  </si>
  <si>
    <t xml:space="preserve">Purchases towards sale of intangible assets (patents,copyrights,trade marks etc.) By Qatari companies</t>
  </si>
  <si>
    <t xml:space="preserve">A6A03</t>
  </si>
  <si>
    <t xml:space="preserve">Repatriation of Qatari investment abroad in branches</t>
  </si>
  <si>
    <t xml:space="preserve">Repatriation of Qatari investment abroad in subsidiaries &amp; associates</t>
  </si>
  <si>
    <t xml:space="preserve">Repatriation of Qatari investment abroad in real estate</t>
  </si>
  <si>
    <t xml:space="preserve">Foreign direct investment in Qatar in equity</t>
  </si>
  <si>
    <t xml:space="preserve">Foreign direct investment in Qatar in debt securities including debt funds</t>
  </si>
  <si>
    <t xml:space="preserve">Foreign direct investment in Qatar in real estate</t>
  </si>
  <si>
    <t xml:space="preserve">Repatriation of Qatari investment abroad in equity capital (shares)</t>
  </si>
  <si>
    <t xml:space="preserve">Repatriation of Qatari investment abroad in debt securities</t>
  </si>
  <si>
    <t xml:space="preserve">Foreign portfolio investment in Qatar in equity shares</t>
  </si>
  <si>
    <t xml:space="preserve">Foreign portfolio investment in Qatar in debt securities incl. Debt funds</t>
  </si>
  <si>
    <t xml:space="preserve">Repayment of loans extended to non-residents</t>
  </si>
  <si>
    <t xml:space="preserve">Loans from non-residents to Qatar</t>
  </si>
  <si>
    <t xml:space="preserve">Short-term loans with original maturity up to 1 year from non-residents to Qatar</t>
  </si>
  <si>
    <t xml:space="preserve">Receipts on account of non-residents deposits</t>
  </si>
  <si>
    <t xml:space="preserve">Receipts from bank own account abroad</t>
  </si>
  <si>
    <t xml:space="preserve">Other capital receipts (not included else where)</t>
  </si>
  <si>
    <t xml:space="preserve">Refund/rebates on account of imports</t>
  </si>
  <si>
    <t xml:space="preserve">Reversal of wrong entries refunds of amount remitted for non-imports</t>
  </si>
  <si>
    <t xml:space="preserve">A7C03</t>
  </si>
  <si>
    <t xml:space="preserve">Receipts by residents from residents</t>
  </si>
  <si>
    <t xml:space="preserve">Kaynak: Qatar Central Bank 2024 (kullanıcının paylaştığı QAR-Purpose-Codes.pdf). PDF'te kesik görünen açıklamalar olduğu gibi aktarılmıştır.</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</si>
</sst>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b val="true"/>
      <sz val="10"/>
      <color rgb="FFFFFFFF"/>
      <name val="Arial"/>
      <family val="0"/>
      <charset val="1"/>
    </font>
    <font>
      <b val="true"/>
      <sz val="10"/>
      <color rgb="FF0000FF"/>
      <name val="Arial"/>
      <family val="0"/>
      <charset val="1"/>
    </font>
    <font>
      <i val="true"/>
      <sz val="9"/>
      <name val="Arial"/>
      <family val="0"/>
      <charset val="1"/>
    </font>
  </fonts>
  <fills count="3">
    <fill>
      <patternFill patternType="none"/>
    </fill>
    <fill>
      <patternFill patternType="gray125"/>
    </fill>
    <fill>
      <patternFill patternType="solid">
        <fgColor rgb="FF1F4E78"/>
        <bgColor rgb="FF00336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4"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E2EFDA"/>
          <bgColor rgb="FF000000"/>
        </patternFill>
      </fill>
    </dxf>
    <dxf>
      <fill>
        <patternFill patternType="solid">
          <fgColor rgb="FFFCE4D6"/>
          <bgColor rgb="FF000000"/>
        </patternFill>
      </fill>
    </dxf>
    <dxf>
      <fill>
        <patternFill patternType="solid">
          <fgColor rgb="FFFFF2CC"/>
          <bgColor rgb="FF000000"/>
        </patternFill>
      </fill>
    </dxf>
    <dxf>
      <fill>
        <patternFill>
          <bgColor rgb="FFE2EFDA"/>
        </patternFill>
      </fill>
    </dxf>
    <dxf>
      <fill>
        <patternFill>
          <bgColor rgb="FFFFF2CC"/>
        </patternFill>
      </fill>
    </dxf>
    <dxf>
      <fill>
        <patternFill>
          <bgColor rgb="FFFCE4D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10"/>
  </cols>
  <sheetData>
    <row r="1" customFormat="false" ht="23.85" hidden="false" customHeight="false" outlineLevel="0" collapsed="false">
      <c r="A1" s="1" t="s">
        <v>0</v>
      </c>
      <c r="B1" s="2" t="s">
        <v>1</v>
      </c>
    </row>
    <row r="2" customFormat="false" ht="23.85" hidden="false" customHeight="false" outlineLevel="0" collapsed="false">
      <c r="A2" s="1" t="s">
        <v>2</v>
      </c>
      <c r="B2" s="2" t="s">
        <v>3</v>
      </c>
    </row>
    <row r="3" customFormat="false" ht="23.85" hidden="false" customHeight="false" outlineLevel="0" collapsed="false">
      <c r="A3" s="1" t="s">
        <v>4</v>
      </c>
      <c r="B3" s="2" t="s">
        <v>5</v>
      </c>
    </row>
    <row r="4" customFormat="false" ht="23.85" hidden="false" customHeight="false" outlineLevel="0" collapsed="false">
      <c r="A4" s="1" t="s">
        <v>6</v>
      </c>
      <c r="B4" s="2" t="s">
        <v>7</v>
      </c>
    </row>
    <row r="5" customFormat="false" ht="15" hidden="false" customHeight="false" outlineLevel="0" collapsed="false">
      <c r="A5" s="1" t="s">
        <v>8</v>
      </c>
      <c r="B5" s="2" t="s">
        <v>9</v>
      </c>
    </row>
    <row r="6" customFormat="false" ht="23.85" hidden="false" customHeight="false" outlineLevel="0" collapsed="false">
      <c r="A6" s="1" t="s">
        <v>10</v>
      </c>
      <c r="B6" s="2" t="s">
        <v>11</v>
      </c>
    </row>
    <row r="7" customFormat="false" ht="23.85" hidden="false" customHeight="false" outlineLevel="0" collapsed="false">
      <c r="A7" s="1" t="s">
        <v>12</v>
      </c>
      <c r="B7" s="2"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8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2"/>
    <col collapsed="false" customWidth="true" hidden="false" outlineLevel="0" max="3" min="3" style="0" width="70"/>
    <col collapsed="false" customWidth="true" hidden="false" outlineLevel="0" max="4" min="4" style="0" width="12"/>
    <col collapsed="false" customWidth="true" hidden="false" outlineLevel="0" max="5" min="5" style="0" width="60"/>
    <col collapsed="false" customWidth="true" hidden="false" outlineLevel="0" max="6" min="6" style="0" width="16"/>
    <col collapsed="false" customWidth="true" hidden="false" outlineLevel="0" max="7" min="7" style="0" width="55"/>
    <col collapsed="false" customWidth="true" hidden="false" outlineLevel="0" max="8" min="8" style="0" width="40"/>
  </cols>
  <sheetData>
    <row r="1" customFormat="false" ht="31.5" hidden="false" customHeight="true" outlineLevel="0" collapsed="false">
      <c r="A1" s="3" t="s">
        <v>14</v>
      </c>
      <c r="B1" s="3" t="s">
        <v>15</v>
      </c>
      <c r="C1" s="3" t="s">
        <v>16</v>
      </c>
      <c r="D1" s="3" t="s">
        <v>17</v>
      </c>
      <c r="E1" s="3" t="s">
        <v>18</v>
      </c>
      <c r="F1" s="3" t="s">
        <v>6</v>
      </c>
      <c r="G1" s="3" t="s">
        <v>19</v>
      </c>
      <c r="H1" s="3" t="s">
        <v>20</v>
      </c>
    </row>
    <row r="2" customFormat="false" ht="79.85" hidden="false" customHeight="false" outlineLevel="0" collapsed="false">
      <c r="A2" s="4" t="str">
        <f aca="false">B2&amp;"-"&amp;D2</f>
        <v>5120-A1A01</v>
      </c>
      <c r="B2" s="5" t="n">
        <v>5120</v>
      </c>
      <c r="C2" s="6" t="s">
        <v>21</v>
      </c>
      <c r="D2" s="7" t="s">
        <v>22</v>
      </c>
      <c r="E2" s="6" t="str">
        <f aca="false">IFERROR(INDEX('QAR Kodları'!$B:$B,MATCH(D2,'QAR Kodları'!$A:$A,0)),"KOD BULUNAMADI")</f>
        <v>Value of export bills negotiated/purchased/discounted etc</v>
      </c>
      <c r="F2" s="5" t="s">
        <v>23</v>
      </c>
      <c r="G2" s="6" t="s">
        <v>24</v>
      </c>
      <c r="H2" s="6" t="s">
        <v>25</v>
      </c>
    </row>
    <row r="3" customFormat="false" ht="23.85" hidden="false" customHeight="false" outlineLevel="0" collapsed="false">
      <c r="A3" s="4" t="str">
        <f aca="false">B3&amp;"-"&amp;D3</f>
        <v>5445-A1A01</v>
      </c>
      <c r="B3" s="5" t="n">
        <v>5445</v>
      </c>
      <c r="C3" s="6" t="s">
        <v>26</v>
      </c>
      <c r="D3" s="7" t="s">
        <v>22</v>
      </c>
      <c r="E3" s="6" t="str">
        <f aca="false">IFERROR(INDEX('QAR Kodları'!$B:$B,MATCH(D3,'QAR Kodları'!$A:$A,0)),"KOD BULUNAMADI")</f>
        <v>Value of export bills negotiated/purchased/discounted etc</v>
      </c>
      <c r="F3" s="5" t="s">
        <v>27</v>
      </c>
      <c r="G3" s="6" t="s">
        <v>28</v>
      </c>
      <c r="H3" s="6" t="s">
        <v>29</v>
      </c>
    </row>
    <row r="4" customFormat="false" ht="35.05" hidden="false" customHeight="false" outlineLevel="0" collapsed="false">
      <c r="A4" s="4" t="str">
        <f aca="false">B4&amp;"-"&amp;D4</f>
        <v>5446-A1A02</v>
      </c>
      <c r="B4" s="5" t="n">
        <v>5446</v>
      </c>
      <c r="C4" s="6" t="s">
        <v>30</v>
      </c>
      <c r="D4" s="7" t="s">
        <v>31</v>
      </c>
      <c r="E4" s="6" t="str">
        <f aca="false">IFERROR(INDEX('QAR Kodları'!$B:$B,MATCH(D4,'QAR Kodları'!$A:$A,0)),"KOD BULUNAMADI")</f>
        <v>Realization of export bills (in respect of goods) sent on collection (full invoice value)</v>
      </c>
      <c r="F4" s="5" t="s">
        <v>32</v>
      </c>
      <c r="G4" s="6" t="s">
        <v>33</v>
      </c>
      <c r="H4" s="6" t="s">
        <v>34</v>
      </c>
    </row>
    <row r="5" customFormat="false" ht="35.05" hidden="false" customHeight="false" outlineLevel="0" collapsed="false">
      <c r="A5" s="4" t="str">
        <f aca="false">B5&amp;"-"&amp;D5</f>
        <v>5447-A1A03</v>
      </c>
      <c r="B5" s="5" t="n">
        <v>5447</v>
      </c>
      <c r="C5" s="6" t="s">
        <v>35</v>
      </c>
      <c r="D5" s="7" t="s">
        <v>36</v>
      </c>
      <c r="E5" s="6" t="str">
        <f aca="false">IFERROR(INDEX('QAR Kodları'!$B:$B,MATCH(D5,'QAR Kodları'!$A:$A,0)),"KOD BULUNAMADI")</f>
        <v>Advance receipts against export contracts (export of goods only)</v>
      </c>
      <c r="F5" s="5" t="s">
        <v>32</v>
      </c>
      <c r="G5" s="6" t="s">
        <v>37</v>
      </c>
      <c r="H5" s="6" t="s">
        <v>34</v>
      </c>
    </row>
    <row r="6" customFormat="false" ht="35.05" hidden="false" customHeight="false" outlineLevel="0" collapsed="false">
      <c r="A6" s="4" t="str">
        <f aca="false">B6&amp;"-"&amp;D6</f>
        <v>5448-A1A01</v>
      </c>
      <c r="B6" s="5" t="n">
        <v>5448</v>
      </c>
      <c r="C6" s="6" t="s">
        <v>38</v>
      </c>
      <c r="D6" s="7" t="s">
        <v>22</v>
      </c>
      <c r="E6" s="6" t="str">
        <f aca="false">IFERROR(INDEX('QAR Kodları'!$B:$B,MATCH(D6,'QAR Kodları'!$A:$A,0)),"KOD BULUNAMADI")</f>
        <v>Value of export bills negotiated/purchased/discounted etc</v>
      </c>
      <c r="F6" s="5" t="s">
        <v>27</v>
      </c>
      <c r="G6" s="6" t="s">
        <v>39</v>
      </c>
      <c r="H6" s="6" t="s">
        <v>34</v>
      </c>
    </row>
    <row r="7" customFormat="false" ht="23.85" hidden="false" customHeight="false" outlineLevel="0" collapsed="false">
      <c r="A7" s="4" t="str">
        <f aca="false">B7&amp;"-"&amp;D7</f>
        <v>5700-A2A04</v>
      </c>
      <c r="B7" s="5" t="n">
        <v>5700</v>
      </c>
      <c r="C7" s="6" t="s">
        <v>40</v>
      </c>
      <c r="D7" s="7" t="s">
        <v>41</v>
      </c>
      <c r="E7" s="6" t="str">
        <f aca="false">IFERROR(INDEX('QAR Kodları'!$B:$B,MATCH(D7,'QAR Kodları'!$A:$A,0)),"KOD BULUNAMADI")</f>
        <v>Freight on exports-shipping companies</v>
      </c>
      <c r="F7" s="5" t="s">
        <v>32</v>
      </c>
      <c r="G7" s="6" t="s">
        <v>42</v>
      </c>
      <c r="H7" s="6" t="s">
        <v>25</v>
      </c>
    </row>
    <row r="8" customFormat="false" ht="23.85" hidden="false" customHeight="false" outlineLevel="0" collapsed="false">
      <c r="A8" s="4" t="str">
        <f aca="false">B8&amp;"-"&amp;D8</f>
        <v>5701-A2A04</v>
      </c>
      <c r="B8" s="5" t="n">
        <v>5701</v>
      </c>
      <c r="C8" s="6" t="s">
        <v>43</v>
      </c>
      <c r="D8" s="7" t="s">
        <v>41</v>
      </c>
      <c r="E8" s="6" t="str">
        <f aca="false">IFERROR(INDEX('QAR Kodları'!$B:$B,MATCH(D8,'QAR Kodları'!$A:$A,0)),"KOD BULUNAMADI")</f>
        <v>Freight on exports-shipping companies</v>
      </c>
      <c r="F8" s="5" t="s">
        <v>32</v>
      </c>
      <c r="G8" s="6" t="s">
        <v>42</v>
      </c>
      <c r="H8" s="6" t="s">
        <v>25</v>
      </c>
    </row>
    <row r="9" customFormat="false" ht="23.85" hidden="false" customHeight="false" outlineLevel="0" collapsed="false">
      <c r="A9" s="4" t="str">
        <f aca="false">B9&amp;"-"&amp;D9</f>
        <v>5702-A2A04</v>
      </c>
      <c r="B9" s="5" t="n">
        <v>5702</v>
      </c>
      <c r="C9" s="6" t="s">
        <v>44</v>
      </c>
      <c r="D9" s="7" t="s">
        <v>41</v>
      </c>
      <c r="E9" s="6" t="str">
        <f aca="false">IFERROR(INDEX('QAR Kodları'!$B:$B,MATCH(D9,'QAR Kodları'!$A:$A,0)),"KOD BULUNAMADI")</f>
        <v>Freight on exports-shipping companies</v>
      </c>
      <c r="F9" s="5" t="s">
        <v>32</v>
      </c>
      <c r="G9" s="6" t="s">
        <v>42</v>
      </c>
      <c r="H9" s="6" t="s">
        <v>25</v>
      </c>
    </row>
    <row r="10" customFormat="false" ht="46.25" hidden="false" customHeight="false" outlineLevel="0" collapsed="false">
      <c r="A10" s="4" t="str">
        <f aca="false">B10&amp;"-"&amp;D10</f>
        <v>5703-A2A01</v>
      </c>
      <c r="B10" s="5" t="n">
        <v>5703</v>
      </c>
      <c r="C10" s="6" t="s">
        <v>45</v>
      </c>
      <c r="D10" s="7" t="s">
        <v>46</v>
      </c>
      <c r="E10" s="6" t="str">
        <f aca="false">IFERROR(INDEX('QAR Kodları'!$B:$B,MATCH(D10,'QAR Kodları'!$A:$A,0)),"KOD BULUNAMADI")</f>
        <v>Inward remittance on account of surplus freight/passenger fare by Qatari shipping companies operating abroad</v>
      </c>
      <c r="F10" s="5" t="s">
        <v>27</v>
      </c>
      <c r="G10" s="6" t="s">
        <v>47</v>
      </c>
      <c r="H10" s="6" t="s">
        <v>25</v>
      </c>
    </row>
    <row r="11" customFormat="false" ht="46.25" hidden="false" customHeight="false" outlineLevel="0" collapsed="false">
      <c r="A11" s="4" t="str">
        <f aca="false">B11&amp;"-"&amp;D11</f>
        <v>5704-A2A13</v>
      </c>
      <c r="B11" s="5" t="n">
        <v>5704</v>
      </c>
      <c r="C11" s="6" t="s">
        <v>48</v>
      </c>
      <c r="D11" s="7" t="s">
        <v>49</v>
      </c>
      <c r="E11" s="6" t="str">
        <f aca="false">IFERROR(INDEX('QAR Kodları'!$B:$B,MATCH(D11,'QAR Kodları'!$A:$A,0)),"KOD BULUNAMADI")</f>
        <v>Receipts towards other transportation services (stevedoring demurrage port handling charges etc</v>
      </c>
      <c r="F11" s="5" t="s">
        <v>32</v>
      </c>
      <c r="G11" s="6" t="s">
        <v>50</v>
      </c>
      <c r="H11" s="6" t="s">
        <v>25</v>
      </c>
    </row>
    <row r="12" customFormat="false" ht="23.85" hidden="false" customHeight="false" outlineLevel="0" collapsed="false">
      <c r="A12" s="4" t="str">
        <f aca="false">B12&amp;"-"&amp;D12</f>
        <v>5705-A2A10</v>
      </c>
      <c r="B12" s="5" t="n">
        <v>5705</v>
      </c>
      <c r="C12" s="6" t="s">
        <v>51</v>
      </c>
      <c r="D12" s="7" t="s">
        <v>52</v>
      </c>
      <c r="E12" s="6" t="str">
        <f aca="false">IFERROR(INDEX('QAR Kodları'!$B:$B,MATCH(D12,'QAR Kodları'!$A:$A,0)),"KOD BULUNAMADI")</f>
        <v>Freight on exports-airlines companies</v>
      </c>
      <c r="F12" s="5" t="s">
        <v>32</v>
      </c>
      <c r="G12" s="6" t="s">
        <v>53</v>
      </c>
      <c r="H12" s="6" t="s">
        <v>25</v>
      </c>
    </row>
    <row r="13" customFormat="false" ht="23.85" hidden="false" customHeight="false" outlineLevel="0" collapsed="false">
      <c r="A13" s="4" t="str">
        <f aca="false">B13&amp;"-"&amp;D13</f>
        <v>5706-A2A10</v>
      </c>
      <c r="B13" s="5" t="n">
        <v>5706</v>
      </c>
      <c r="C13" s="6" t="s">
        <v>43</v>
      </c>
      <c r="D13" s="7" t="s">
        <v>52</v>
      </c>
      <c r="E13" s="6" t="str">
        <f aca="false">IFERROR(INDEX('QAR Kodları'!$B:$B,MATCH(D13,'QAR Kodları'!$A:$A,0)),"KOD BULUNAMADI")</f>
        <v>Freight on exports-airlines companies</v>
      </c>
      <c r="F13" s="5" t="s">
        <v>32</v>
      </c>
      <c r="G13" s="6" t="s">
        <v>53</v>
      </c>
      <c r="H13" s="6" t="s">
        <v>25</v>
      </c>
    </row>
    <row r="14" customFormat="false" ht="23.85" hidden="false" customHeight="false" outlineLevel="0" collapsed="false">
      <c r="A14" s="4" t="str">
        <f aca="false">B14&amp;"-"&amp;D14</f>
        <v>5707-A2A10</v>
      </c>
      <c r="B14" s="5" t="n">
        <v>5707</v>
      </c>
      <c r="C14" s="6" t="s">
        <v>54</v>
      </c>
      <c r="D14" s="7" t="s">
        <v>52</v>
      </c>
      <c r="E14" s="6" t="str">
        <f aca="false">IFERROR(INDEX('QAR Kodları'!$B:$B,MATCH(D14,'QAR Kodları'!$A:$A,0)),"KOD BULUNAMADI")</f>
        <v>Freight on exports-airlines companies</v>
      </c>
      <c r="F14" s="5" t="s">
        <v>32</v>
      </c>
      <c r="G14" s="6" t="s">
        <v>53</v>
      </c>
      <c r="H14" s="6" t="s">
        <v>25</v>
      </c>
    </row>
    <row r="15" customFormat="false" ht="46.25" hidden="false" customHeight="false" outlineLevel="0" collapsed="false">
      <c r="A15" s="4" t="str">
        <f aca="false">B15&amp;"-"&amp;D15</f>
        <v>5708-A2A07</v>
      </c>
      <c r="B15" s="5" t="n">
        <v>5708</v>
      </c>
      <c r="C15" s="6" t="s">
        <v>55</v>
      </c>
      <c r="D15" s="7" t="s">
        <v>56</v>
      </c>
      <c r="E15" s="6" t="str">
        <f aca="false">IFERROR(INDEX('QAR Kodları'!$B:$B,MATCH(D15,'QAR Kodları'!$A:$A,0)),"KOD BULUNAMADI")</f>
        <v>Inward remittance of surplus freight/passenger fare by Qatari airlines companies operating abroad</v>
      </c>
      <c r="F15" s="5" t="s">
        <v>27</v>
      </c>
      <c r="G15" s="6" t="s">
        <v>57</v>
      </c>
      <c r="H15" s="6" t="s">
        <v>25</v>
      </c>
    </row>
    <row r="16" customFormat="false" ht="46.25" hidden="false" customHeight="false" outlineLevel="0" collapsed="false">
      <c r="A16" s="4" t="str">
        <f aca="false">B16&amp;"-"&amp;D16</f>
        <v>5709-A2A13</v>
      </c>
      <c r="B16" s="5" t="n">
        <v>5709</v>
      </c>
      <c r="C16" s="6" t="s">
        <v>58</v>
      </c>
      <c r="D16" s="7" t="s">
        <v>49</v>
      </c>
      <c r="E16" s="6" t="str">
        <f aca="false">IFERROR(INDEX('QAR Kodları'!$B:$B,MATCH(D16,'QAR Kodları'!$A:$A,0)),"KOD BULUNAMADI")</f>
        <v>Receipts towards other transportation services (stevedoring demurrage port handling charges etc</v>
      </c>
      <c r="F16" s="5" t="s">
        <v>32</v>
      </c>
      <c r="G16" s="6" t="s">
        <v>59</v>
      </c>
      <c r="H16" s="6" t="s">
        <v>25</v>
      </c>
    </row>
    <row r="17" customFormat="false" ht="23.85" hidden="false" customHeight="false" outlineLevel="0" collapsed="false">
      <c r="A17" s="4" t="str">
        <f aca="false">B17&amp;"-"&amp;D17</f>
        <v>5710-A2A13</v>
      </c>
      <c r="B17" s="5" t="n">
        <v>5710</v>
      </c>
      <c r="C17" s="6" t="s">
        <v>60</v>
      </c>
      <c r="D17" s="7" t="s">
        <v>49</v>
      </c>
      <c r="E17" s="6" t="str">
        <f aca="false">IFERROR(INDEX('QAR Kodları'!$B:$B,MATCH(D17,'QAR Kodları'!$A:$A,0)),"KOD BULUNAMADI")</f>
        <v>Receipts towards other transportation services (stevedoring demurrage port handling charges etc</v>
      </c>
      <c r="F17" s="5" t="s">
        <v>23</v>
      </c>
      <c r="G17" s="6" t="s">
        <v>61</v>
      </c>
      <c r="H17" s="6" t="s">
        <v>25</v>
      </c>
    </row>
    <row r="18" customFormat="false" ht="23.85" hidden="false" customHeight="false" outlineLevel="0" collapsed="false">
      <c r="A18" s="4" t="str">
        <f aca="false">B18&amp;"-"&amp;D18</f>
        <v>5711-A2A13</v>
      </c>
      <c r="B18" s="5" t="n">
        <v>5711</v>
      </c>
      <c r="C18" s="6" t="s">
        <v>62</v>
      </c>
      <c r="D18" s="7" t="s">
        <v>49</v>
      </c>
      <c r="E18" s="6" t="str">
        <f aca="false">IFERROR(INDEX('QAR Kodları'!$B:$B,MATCH(D18,'QAR Kodları'!$A:$A,0)),"KOD BULUNAMADI")</f>
        <v>Receipts towards other transportation services (stevedoring demurrage port handling charges etc</v>
      </c>
      <c r="F18" s="5" t="s">
        <v>23</v>
      </c>
      <c r="G18" s="6" t="s">
        <v>61</v>
      </c>
      <c r="H18" s="6" t="s">
        <v>25</v>
      </c>
    </row>
    <row r="19" customFormat="false" ht="23.85" hidden="false" customHeight="false" outlineLevel="0" collapsed="false">
      <c r="A19" s="4" t="str">
        <f aca="false">B19&amp;"-"&amp;D19</f>
        <v>5712-A2A13</v>
      </c>
      <c r="B19" s="5" t="n">
        <v>5712</v>
      </c>
      <c r="C19" s="6" t="s">
        <v>63</v>
      </c>
      <c r="D19" s="7" t="s">
        <v>49</v>
      </c>
      <c r="E19" s="6" t="str">
        <f aca="false">IFERROR(INDEX('QAR Kodları'!$B:$B,MATCH(D19,'QAR Kodları'!$A:$A,0)),"KOD BULUNAMADI")</f>
        <v>Receipts towards other transportation services (stevedoring demurrage port handling charges etc</v>
      </c>
      <c r="F19" s="5" t="s">
        <v>23</v>
      </c>
      <c r="G19" s="6" t="s">
        <v>61</v>
      </c>
      <c r="H19" s="6" t="s">
        <v>25</v>
      </c>
    </row>
    <row r="20" customFormat="false" ht="46.25" hidden="false" customHeight="false" outlineLevel="0" collapsed="false">
      <c r="A20" s="4" t="str">
        <f aca="false">B20&amp;"-"&amp;D20</f>
        <v>5713-A2A13</v>
      </c>
      <c r="B20" s="5" t="n">
        <v>5713</v>
      </c>
      <c r="C20" s="6" t="s">
        <v>64</v>
      </c>
      <c r="D20" s="7" t="s">
        <v>49</v>
      </c>
      <c r="E20" s="6" t="str">
        <f aca="false">IFERROR(INDEX('QAR Kodları'!$B:$B,MATCH(D20,'QAR Kodları'!$A:$A,0)),"KOD BULUNAMADI")</f>
        <v>Receipts towards other transportation services (stevedoring demurrage port handling charges etc</v>
      </c>
      <c r="F20" s="5" t="s">
        <v>23</v>
      </c>
      <c r="G20" s="6" t="s">
        <v>61</v>
      </c>
      <c r="H20" s="6" t="s">
        <v>25</v>
      </c>
    </row>
    <row r="21" customFormat="false" ht="46.25" hidden="false" customHeight="false" outlineLevel="0" collapsed="false">
      <c r="A21" s="4" t="str">
        <f aca="false">B21&amp;"-"&amp;D21</f>
        <v>5714-A2A13</v>
      </c>
      <c r="B21" s="5" t="n">
        <v>5714</v>
      </c>
      <c r="C21" s="6" t="s">
        <v>65</v>
      </c>
      <c r="D21" s="7" t="s">
        <v>49</v>
      </c>
      <c r="E21" s="6" t="str">
        <f aca="false">IFERROR(INDEX('QAR Kodları'!$B:$B,MATCH(D21,'QAR Kodları'!$A:$A,0)),"KOD BULUNAMADI")</f>
        <v>Receipts towards other transportation services (stevedoring demurrage port handling charges etc</v>
      </c>
      <c r="F21" s="5" t="s">
        <v>23</v>
      </c>
      <c r="G21" s="6" t="s">
        <v>61</v>
      </c>
      <c r="H21" s="6" t="s">
        <v>25</v>
      </c>
    </row>
    <row r="22" customFormat="false" ht="35.05" hidden="false" customHeight="false" outlineLevel="0" collapsed="false">
      <c r="A22" s="4" t="str">
        <f aca="false">B22&amp;"-"&amp;D22</f>
        <v>5715-A2A13</v>
      </c>
      <c r="B22" s="5" t="n">
        <v>5715</v>
      </c>
      <c r="C22" s="6" t="s">
        <v>66</v>
      </c>
      <c r="D22" s="7" t="s">
        <v>49</v>
      </c>
      <c r="E22" s="6" t="str">
        <f aca="false">IFERROR(INDEX('QAR Kodları'!$B:$B,MATCH(D22,'QAR Kodları'!$A:$A,0)),"KOD BULUNAMADI")</f>
        <v>Receipts towards other transportation services (stevedoring demurrage port handling charges etc</v>
      </c>
      <c r="F22" s="5" t="s">
        <v>23</v>
      </c>
      <c r="G22" s="6" t="s">
        <v>61</v>
      </c>
      <c r="H22" s="6" t="s">
        <v>25</v>
      </c>
    </row>
    <row r="23" customFormat="false" ht="23.85" hidden="false" customHeight="false" outlineLevel="0" collapsed="false">
      <c r="A23" s="4" t="str">
        <f aca="false">B23&amp;"-"&amp;D23</f>
        <v>5716-A2A13</v>
      </c>
      <c r="B23" s="5" t="n">
        <v>5716</v>
      </c>
      <c r="C23" s="6" t="s">
        <v>67</v>
      </c>
      <c r="D23" s="7" t="s">
        <v>49</v>
      </c>
      <c r="E23" s="6" t="str">
        <f aca="false">IFERROR(INDEX('QAR Kodları'!$B:$B,MATCH(D23,'QAR Kodları'!$A:$A,0)),"KOD BULUNAMADI")</f>
        <v>Receipts towards other transportation services (stevedoring demurrage port handling charges etc</v>
      </c>
      <c r="F23" s="5" t="s">
        <v>23</v>
      </c>
      <c r="G23" s="6" t="s">
        <v>61</v>
      </c>
      <c r="H23" s="6" t="s">
        <v>25</v>
      </c>
    </row>
    <row r="24" customFormat="false" ht="35.05" hidden="false" customHeight="false" outlineLevel="0" collapsed="false">
      <c r="A24" s="4" t="str">
        <f aca="false">B24&amp;"-"&amp;D24</f>
        <v>5717-A2A13</v>
      </c>
      <c r="B24" s="5" t="n">
        <v>5717</v>
      </c>
      <c r="C24" s="6" t="s">
        <v>68</v>
      </c>
      <c r="D24" s="7" t="s">
        <v>49</v>
      </c>
      <c r="E24" s="6" t="str">
        <f aca="false">IFERROR(INDEX('QAR Kodları'!$B:$B,MATCH(D24,'QAR Kodları'!$A:$A,0)),"KOD BULUNAMADI")</f>
        <v>Receipts towards other transportation services (stevedoring demurrage port handling charges etc</v>
      </c>
      <c r="F24" s="5" t="s">
        <v>23</v>
      </c>
      <c r="G24" s="6" t="s">
        <v>61</v>
      </c>
      <c r="H24" s="6" t="s">
        <v>25</v>
      </c>
    </row>
    <row r="25" customFormat="false" ht="46.25" hidden="false" customHeight="false" outlineLevel="0" collapsed="false">
      <c r="A25" s="4" t="str">
        <f aca="false">B25&amp;"-"&amp;D25</f>
        <v>5718-A2A13</v>
      </c>
      <c r="B25" s="5" t="n">
        <v>5718</v>
      </c>
      <c r="C25" s="6" t="s">
        <v>69</v>
      </c>
      <c r="D25" s="7" t="s">
        <v>49</v>
      </c>
      <c r="E25" s="6" t="str">
        <f aca="false">IFERROR(INDEX('QAR Kodları'!$B:$B,MATCH(D25,'QAR Kodları'!$A:$A,0)),"KOD BULUNAMADI")</f>
        <v>Receipts towards other transportation services (stevedoring demurrage port handling charges etc</v>
      </c>
      <c r="F25" s="5" t="s">
        <v>23</v>
      </c>
      <c r="G25" s="6" t="s">
        <v>61</v>
      </c>
      <c r="H25" s="6" t="s">
        <v>25</v>
      </c>
    </row>
    <row r="26" customFormat="false" ht="46.25" hidden="false" customHeight="false" outlineLevel="0" collapsed="false">
      <c r="A26" s="4" t="str">
        <f aca="false">B26&amp;"-"&amp;D26</f>
        <v>5719-A2A13</v>
      </c>
      <c r="B26" s="5" t="n">
        <v>5719</v>
      </c>
      <c r="C26" s="6" t="s">
        <v>70</v>
      </c>
      <c r="D26" s="7" t="s">
        <v>49</v>
      </c>
      <c r="E26" s="6" t="str">
        <f aca="false">IFERROR(INDEX('QAR Kodları'!$B:$B,MATCH(D26,'QAR Kodları'!$A:$A,0)),"KOD BULUNAMADI")</f>
        <v>Receipts towards other transportation services (stevedoring demurrage port handling charges etc</v>
      </c>
      <c r="F26" s="5" t="s">
        <v>23</v>
      </c>
      <c r="G26" s="6" t="s">
        <v>61</v>
      </c>
      <c r="H26" s="6" t="s">
        <v>25</v>
      </c>
    </row>
    <row r="27" customFormat="false" ht="35.05" hidden="false" customHeight="false" outlineLevel="0" collapsed="false">
      <c r="A27" s="4" t="str">
        <f aca="false">B27&amp;"-"&amp;D27</f>
        <v>5720-A2A13</v>
      </c>
      <c r="B27" s="5" t="n">
        <v>5720</v>
      </c>
      <c r="C27" s="6" t="s">
        <v>71</v>
      </c>
      <c r="D27" s="7" t="s">
        <v>49</v>
      </c>
      <c r="E27" s="6" t="str">
        <f aca="false">IFERROR(INDEX('QAR Kodları'!$B:$B,MATCH(D27,'QAR Kodları'!$A:$A,0)),"KOD BULUNAMADI")</f>
        <v>Receipts towards other transportation services (stevedoring demurrage port handling charges etc</v>
      </c>
      <c r="F27" s="5" t="s">
        <v>23</v>
      </c>
      <c r="G27" s="6" t="s">
        <v>72</v>
      </c>
      <c r="H27" s="6" t="s">
        <v>25</v>
      </c>
    </row>
    <row r="28" customFormat="false" ht="23.85" hidden="false" customHeight="false" outlineLevel="0" collapsed="false">
      <c r="A28" s="4" t="str">
        <f aca="false">B28&amp;"-"&amp;D28</f>
        <v>5721-A2K02</v>
      </c>
      <c r="B28" s="5" t="n">
        <v>5721</v>
      </c>
      <c r="C28" s="6" t="s">
        <v>73</v>
      </c>
      <c r="D28" s="7" t="s">
        <v>74</v>
      </c>
      <c r="E28" s="6" t="str">
        <f aca="false">IFERROR(INDEX('QAR Kodları'!$B:$B,MATCH(D28,'QAR Kodları'!$A:$A,0)),"KOD BULUNAMADI")</f>
        <v>Receipts on account of settlement of claims for courier services</v>
      </c>
      <c r="F28" s="5" t="s">
        <v>27</v>
      </c>
      <c r="G28" s="6" t="s">
        <v>75</v>
      </c>
      <c r="H28" s="6" t="s">
        <v>25</v>
      </c>
    </row>
    <row r="29" customFormat="false" ht="23.85" hidden="false" customHeight="false" outlineLevel="0" collapsed="false">
      <c r="A29" s="4" t="str">
        <f aca="false">B29&amp;"-"&amp;D29</f>
        <v>5730-A2B01</v>
      </c>
      <c r="B29" s="5" t="n">
        <v>5730</v>
      </c>
      <c r="C29" s="6" t="s">
        <v>76</v>
      </c>
      <c r="D29" s="7" t="s">
        <v>77</v>
      </c>
      <c r="E29" s="6" t="str">
        <f aca="false">IFERROR(INDEX('QAR Kodları'!$B:$B,MATCH(D29,'QAR Kodları'!$A:$A,0)),"KOD BULUNAMADI")</f>
        <v>Inward remittance towards business travel includes purchases of foreign tcs,currency notes etc. Over the counter by hotels,hospitals,emporium</v>
      </c>
      <c r="F29" s="5" t="s">
        <v>32</v>
      </c>
      <c r="G29" s="6"/>
      <c r="H29" s="6" t="s">
        <v>78</v>
      </c>
    </row>
    <row r="30" customFormat="false" ht="46.25" hidden="false" customHeight="false" outlineLevel="0" collapsed="false">
      <c r="A30" s="4" t="str">
        <f aca="false">B30&amp;"-"&amp;D30</f>
        <v>5740-A2D01</v>
      </c>
      <c r="B30" s="5" t="n">
        <v>5740</v>
      </c>
      <c r="C30" s="6" t="s">
        <v>79</v>
      </c>
      <c r="D30" s="7" t="s">
        <v>80</v>
      </c>
      <c r="E30" s="6" t="str">
        <f aca="false">IFERROR(INDEX('QAR Kodları'!$B:$B,MATCH(D30,'QAR Kodları'!$A:$A,0)),"KOD BULUNAMADI")</f>
        <v>Inward remittance towards meeting the cost of construction of projects in Qatar</v>
      </c>
      <c r="F30" s="5" t="s">
        <v>32</v>
      </c>
      <c r="G30" s="6" t="s">
        <v>81</v>
      </c>
      <c r="H30" s="6" t="s">
        <v>82</v>
      </c>
    </row>
    <row r="31" customFormat="false" ht="23.85" hidden="false" customHeight="false" outlineLevel="0" collapsed="false">
      <c r="A31" s="4" t="str">
        <f aca="false">B31&amp;"-"&amp;D31</f>
        <v>5741-A2D01</v>
      </c>
      <c r="B31" s="5" t="n">
        <v>5741</v>
      </c>
      <c r="C31" s="6" t="s">
        <v>83</v>
      </c>
      <c r="D31" s="7" t="s">
        <v>80</v>
      </c>
      <c r="E31" s="6" t="str">
        <f aca="false">IFERROR(INDEX('QAR Kodları'!$B:$B,MATCH(D31,'QAR Kodları'!$A:$A,0)),"KOD BULUNAMADI")</f>
        <v>Inward remittance towards meeting the cost of construction of projects in Qatar</v>
      </c>
      <c r="F31" s="5" t="s">
        <v>23</v>
      </c>
      <c r="G31" s="6" t="s">
        <v>84</v>
      </c>
      <c r="H31" s="6" t="s">
        <v>82</v>
      </c>
    </row>
    <row r="32" customFormat="false" ht="46.25" hidden="false" customHeight="false" outlineLevel="0" collapsed="false">
      <c r="A32" s="4" t="str">
        <f aca="false">B32&amp;"-"&amp;D32</f>
        <v>5750-A2C01</v>
      </c>
      <c r="B32" s="5" t="n">
        <v>5750</v>
      </c>
      <c r="C32" s="6" t="s">
        <v>85</v>
      </c>
      <c r="D32" s="7" t="s">
        <v>86</v>
      </c>
      <c r="E32" s="6" t="str">
        <f aca="false">IFERROR(INDEX('QAR Kodları'!$B:$B,MATCH(D32,'QAR Kodları'!$A:$A,0)),"KOD BULUNAMADI")</f>
        <v>Receipts on account of life insurance premium</v>
      </c>
      <c r="F32" s="5" t="s">
        <v>32</v>
      </c>
      <c r="G32" s="6"/>
      <c r="H32" s="6" t="s">
        <v>87</v>
      </c>
    </row>
    <row r="33" customFormat="false" ht="46.25" hidden="false" customHeight="false" outlineLevel="0" collapsed="false">
      <c r="A33" s="4" t="str">
        <f aca="false">B33&amp;"-"&amp;D33</f>
        <v>5751-A2C01</v>
      </c>
      <c r="B33" s="5" t="n">
        <v>5751</v>
      </c>
      <c r="C33" s="6" t="s">
        <v>88</v>
      </c>
      <c r="D33" s="7" t="s">
        <v>86</v>
      </c>
      <c r="E33" s="6" t="str">
        <f aca="false">IFERROR(INDEX('QAR Kodları'!$B:$B,MATCH(D33,'QAR Kodları'!$A:$A,0)),"KOD BULUNAMADI")</f>
        <v>Receipts on account of life insurance premium</v>
      </c>
      <c r="F33" s="5" t="s">
        <v>23</v>
      </c>
      <c r="G33" s="6" t="s">
        <v>89</v>
      </c>
      <c r="H33" s="6" t="s">
        <v>90</v>
      </c>
    </row>
    <row r="34" customFormat="false" ht="46.25" hidden="false" customHeight="false" outlineLevel="0" collapsed="false">
      <c r="A34" s="4" t="str">
        <f aca="false">B34&amp;"-"&amp;D34</f>
        <v>5752-A2C02</v>
      </c>
      <c r="B34" s="5" t="n">
        <v>5752</v>
      </c>
      <c r="C34" s="6" t="s">
        <v>91</v>
      </c>
      <c r="D34" s="7" t="s">
        <v>92</v>
      </c>
      <c r="E34" s="6" t="str">
        <f aca="false">IFERROR(INDEX('QAR Kodları'!$B:$B,MATCH(D34,'QAR Kodları'!$A:$A,0)),"KOD BULUNAMADI")</f>
        <v>Receipts on account of freight insurance relating to import &amp; export goods</v>
      </c>
      <c r="F34" s="5" t="s">
        <v>32</v>
      </c>
      <c r="G34" s="6"/>
      <c r="H34" s="6" t="s">
        <v>87</v>
      </c>
    </row>
    <row r="35" customFormat="false" ht="79.85" hidden="false" customHeight="false" outlineLevel="0" collapsed="false">
      <c r="A35" s="4" t="str">
        <f aca="false">B35&amp;"-"&amp;D35</f>
        <v>5753-A2C03</v>
      </c>
      <c r="B35" s="5" t="n">
        <v>5753</v>
      </c>
      <c r="C35" s="6" t="s">
        <v>93</v>
      </c>
      <c r="D35" s="7" t="s">
        <v>94</v>
      </c>
      <c r="E35" s="6" t="str">
        <f aca="false">IFERROR(INDEX('QAR Kodları'!$B:$B,MATCH(D35,'QAR Kodları'!$A:$A,0)),"KOD BULUNAMADI")</f>
        <v>Receipts of other general insurance premium</v>
      </c>
      <c r="F35" s="5" t="s">
        <v>32</v>
      </c>
      <c r="G35" s="6"/>
      <c r="H35" s="6" t="s">
        <v>87</v>
      </c>
    </row>
    <row r="36" customFormat="false" ht="35.05" hidden="false" customHeight="false" outlineLevel="0" collapsed="false">
      <c r="A36" s="4" t="str">
        <f aca="false">B36&amp;"-"&amp;D36</f>
        <v>5754-A2C04</v>
      </c>
      <c r="B36" s="5" t="n">
        <v>5754</v>
      </c>
      <c r="C36" s="6" t="s">
        <v>95</v>
      </c>
      <c r="D36" s="7" t="s">
        <v>96</v>
      </c>
      <c r="E36" s="6" t="str">
        <f aca="false">IFERROR(INDEX('QAR Kodları'!$B:$B,MATCH(D36,'QAR Kodları'!$A:$A,0)),"KOD BULUNAMADI")</f>
        <v>Receipts on account of reinsurance premium</v>
      </c>
      <c r="F36" s="5" t="s">
        <v>32</v>
      </c>
      <c r="G36" s="6"/>
      <c r="H36" s="6" t="s">
        <v>87</v>
      </c>
    </row>
    <row r="37" customFormat="false" ht="46.25" hidden="false" customHeight="false" outlineLevel="0" collapsed="false">
      <c r="A37" s="4" t="str">
        <f aca="false">B37&amp;"-"&amp;D37</f>
        <v>5755-A2C03</v>
      </c>
      <c r="B37" s="5" t="n">
        <v>5755</v>
      </c>
      <c r="C37" s="6" t="s">
        <v>97</v>
      </c>
      <c r="D37" s="7" t="s">
        <v>94</v>
      </c>
      <c r="E37" s="6" t="str">
        <f aca="false">IFERROR(INDEX('QAR Kodları'!$B:$B,MATCH(D37,'QAR Kodları'!$A:$A,0)),"KOD BULUNAMADI")</f>
        <v>Receipts of other general insurance premium</v>
      </c>
      <c r="F37" s="5" t="s">
        <v>27</v>
      </c>
      <c r="G37" s="6" t="s">
        <v>98</v>
      </c>
      <c r="H37" s="6" t="s">
        <v>87</v>
      </c>
    </row>
    <row r="38" customFormat="false" ht="35.05" hidden="false" customHeight="false" outlineLevel="0" collapsed="false">
      <c r="A38" s="4" t="str">
        <f aca="false">B38&amp;"-"&amp;D38</f>
        <v>5756-A2C05</v>
      </c>
      <c r="B38" s="5" t="n">
        <v>5756</v>
      </c>
      <c r="C38" s="6" t="s">
        <v>99</v>
      </c>
      <c r="D38" s="7" t="s">
        <v>100</v>
      </c>
      <c r="E38" s="6" t="str">
        <f aca="false">IFERROR(INDEX('QAR Kodları'!$B:$B,MATCH(D38,'QAR Kodları'!$A:$A,0)),"KOD BULUNAMADI")</f>
        <v>Receipts on account of auxiliary services (commission on insurance)</v>
      </c>
      <c r="F38" s="5" t="s">
        <v>32</v>
      </c>
      <c r="G38" s="6"/>
      <c r="H38" s="6" t="s">
        <v>87</v>
      </c>
    </row>
    <row r="39" customFormat="false" ht="35.05" hidden="false" customHeight="false" outlineLevel="0" collapsed="false">
      <c r="A39" s="4" t="str">
        <f aca="false">B39&amp;"-"&amp;D39</f>
        <v>5760-A2F01</v>
      </c>
      <c r="B39" s="5" t="n">
        <v>5760</v>
      </c>
      <c r="C39" s="6" t="s">
        <v>101</v>
      </c>
      <c r="D39" s="7" t="s">
        <v>102</v>
      </c>
      <c r="E39" s="6" t="str">
        <f aca="false">IFERROR(INDEX('QAR Kodları'!$B:$B,MATCH(D39,'QAR Kodları'!$A:$A,0)),"KOD BULUNAMADI")</f>
        <v>Receipts on account of financial intermediation except investment banking-bank charges, collection charges,lc charges, cancellation of forward</v>
      </c>
      <c r="F39" s="5" t="s">
        <v>32</v>
      </c>
      <c r="G39" s="6" t="s">
        <v>103</v>
      </c>
      <c r="H39" s="6" t="s">
        <v>104</v>
      </c>
    </row>
    <row r="40" customFormat="false" ht="23.85" hidden="false" customHeight="false" outlineLevel="0" collapsed="false">
      <c r="A40" s="4" t="str">
        <f aca="false">B40&amp;"-"&amp;D40</f>
        <v>5761-A2F02</v>
      </c>
      <c r="B40" s="5" t="n">
        <v>5761</v>
      </c>
      <c r="C40" s="6" t="s">
        <v>105</v>
      </c>
      <c r="D40" s="7" t="s">
        <v>106</v>
      </c>
      <c r="E40" s="6" t="str">
        <f aca="false">IFERROR(INDEX('QAR Kodları'!$B:$B,MATCH(D40,'QAR Kodları'!$A:$A,0)),"KOD BULUNAMADI")</f>
        <v>Receipts on account of investment banking services-brokerage, under writing commission etc</v>
      </c>
      <c r="F40" s="5" t="s">
        <v>32</v>
      </c>
      <c r="G40" s="6" t="s">
        <v>107</v>
      </c>
      <c r="H40" s="6" t="s">
        <v>104</v>
      </c>
    </row>
    <row r="41" customFormat="false" ht="35.05" hidden="false" customHeight="false" outlineLevel="0" collapsed="false">
      <c r="A41" s="4" t="str">
        <f aca="false">B41&amp;"-"&amp;D41</f>
        <v>5762-A2F01</v>
      </c>
      <c r="B41" s="5" t="n">
        <v>5762</v>
      </c>
      <c r="C41" s="6" t="s">
        <v>108</v>
      </c>
      <c r="D41" s="7" t="s">
        <v>102</v>
      </c>
      <c r="E41" s="6" t="str">
        <f aca="false">IFERROR(INDEX('QAR Kodları'!$B:$B,MATCH(D41,'QAR Kodları'!$A:$A,0)),"KOD BULUNAMADI")</f>
        <v>Receipts on account of financial intermediation except investment banking-bank charges, collection charges,lc charges, cancellation of forward</v>
      </c>
      <c r="F41" s="5" t="s">
        <v>27</v>
      </c>
      <c r="G41" s="6" t="s">
        <v>109</v>
      </c>
      <c r="H41" s="6" t="s">
        <v>104</v>
      </c>
    </row>
    <row r="42" customFormat="false" ht="23.85" hidden="false" customHeight="false" outlineLevel="0" collapsed="false">
      <c r="A42" s="4" t="str">
        <f aca="false">B42&amp;"-"&amp;D42</f>
        <v>5763-A2F02</v>
      </c>
      <c r="B42" s="5" t="n">
        <v>5763</v>
      </c>
      <c r="C42" s="6" t="s">
        <v>110</v>
      </c>
      <c r="D42" s="7" t="s">
        <v>106</v>
      </c>
      <c r="E42" s="6" t="str">
        <f aca="false">IFERROR(INDEX('QAR Kodları'!$B:$B,MATCH(D42,'QAR Kodları'!$A:$A,0)),"KOD BULUNAMADI")</f>
        <v>Receipts on account of investment banking services-brokerage, under writing commission etc</v>
      </c>
      <c r="F42" s="5" t="s">
        <v>27</v>
      </c>
      <c r="G42" s="6" t="s">
        <v>111</v>
      </c>
      <c r="H42" s="6" t="s">
        <v>104</v>
      </c>
    </row>
    <row r="43" customFormat="false" ht="23.85" hidden="false" customHeight="false" outlineLevel="0" collapsed="false">
      <c r="A43" s="4" t="str">
        <f aca="false">B43&amp;"-"&amp;D43</f>
        <v>5770-A2R01</v>
      </c>
      <c r="B43" s="5" t="n">
        <v>5770</v>
      </c>
      <c r="C43" s="6" t="s">
        <v>112</v>
      </c>
      <c r="D43" s="7" t="s">
        <v>113</v>
      </c>
      <c r="E43" s="6" t="str">
        <f aca="false">IFERROR(INDEX('QAR Kodları'!$B:$B,MATCH(D43,'QAR Kodları'!$A:$A,0)),"KOD BULUNAMADI")</f>
        <v>Receipts on account of franchises services-use of patents, copy right trade marks, industrial processes, franchises etc.</v>
      </c>
      <c r="F43" s="5" t="s">
        <v>32</v>
      </c>
      <c r="G43" s="6" t="s">
        <v>114</v>
      </c>
      <c r="H43" s="6" t="s">
        <v>115</v>
      </c>
    </row>
    <row r="44" customFormat="false" ht="23.85" hidden="false" customHeight="false" outlineLevel="0" collapsed="false">
      <c r="A44" s="4" t="str">
        <f aca="false">B44&amp;"-"&amp;D44</f>
        <v>5771-A2R01</v>
      </c>
      <c r="B44" s="5" t="n">
        <v>5771</v>
      </c>
      <c r="C44" s="6" t="s">
        <v>116</v>
      </c>
      <c r="D44" s="7" t="s">
        <v>113</v>
      </c>
      <c r="E44" s="6" t="str">
        <f aca="false">IFERROR(INDEX('QAR Kodları'!$B:$B,MATCH(D44,'QAR Kodları'!$A:$A,0)),"KOD BULUNAMADI")</f>
        <v>Receipts on account of franchises services-use of patents, copy right trade marks, industrial processes, franchises etc.</v>
      </c>
      <c r="F44" s="5" t="s">
        <v>32</v>
      </c>
      <c r="G44" s="6" t="s">
        <v>117</v>
      </c>
      <c r="H44" s="6" t="s">
        <v>82</v>
      </c>
    </row>
    <row r="45" customFormat="false" ht="23.85" hidden="false" customHeight="false" outlineLevel="0" collapsed="false">
      <c r="A45" s="4" t="str">
        <f aca="false">B45&amp;"-"&amp;D45</f>
        <v>5772-A2R01</v>
      </c>
      <c r="B45" s="5" t="n">
        <v>5772</v>
      </c>
      <c r="C45" s="6" t="s">
        <v>118</v>
      </c>
      <c r="D45" s="7" t="s">
        <v>113</v>
      </c>
      <c r="E45" s="6" t="str">
        <f aca="false">IFERROR(INDEX('QAR Kodları'!$B:$B,MATCH(D45,'QAR Kodları'!$A:$A,0)),"KOD BULUNAMADI")</f>
        <v>Receipts on account of franchises services-use of patents, copy right trade marks, industrial processes, franchises etc.</v>
      </c>
      <c r="F45" s="5" t="s">
        <v>27</v>
      </c>
      <c r="G45" s="6" t="s">
        <v>119</v>
      </c>
      <c r="H45" s="6" t="s">
        <v>82</v>
      </c>
    </row>
    <row r="46" customFormat="false" ht="35.05" hidden="false" customHeight="false" outlineLevel="0" collapsed="false">
      <c r="A46" s="4" t="str">
        <f aca="false">B46&amp;"-"&amp;D46</f>
        <v>5773-A2R02</v>
      </c>
      <c r="B46" s="5" t="n">
        <v>5773</v>
      </c>
      <c r="C46" s="6" t="s">
        <v>120</v>
      </c>
      <c r="D46" s="7" t="s">
        <v>121</v>
      </c>
      <c r="E46" s="6" t="str">
        <f aca="false">IFERROR(INDEX('QAR Kodları'!$B:$B,MATCH(D46,'QAR Kodları'!$A:$A,0)),"KOD BULUNAMADI")</f>
        <v>Receipts for use through licensing arrangements of produced originals or prototypes (such as manuscripts and films)</v>
      </c>
      <c r="F46" s="5" t="s">
        <v>32</v>
      </c>
      <c r="G46" s="6" t="s">
        <v>122</v>
      </c>
      <c r="H46" s="6" t="s">
        <v>82</v>
      </c>
    </row>
    <row r="47" customFormat="false" ht="23.85" hidden="false" customHeight="false" outlineLevel="0" collapsed="false">
      <c r="A47" s="4" t="str">
        <f aca="false">B47&amp;"-"&amp;D47</f>
        <v>5774-A2R02</v>
      </c>
      <c r="B47" s="5" t="n">
        <v>5774</v>
      </c>
      <c r="C47" s="6" t="s">
        <v>123</v>
      </c>
      <c r="D47" s="7" t="s">
        <v>121</v>
      </c>
      <c r="E47" s="6" t="str">
        <f aca="false">IFERROR(INDEX('QAR Kodları'!$B:$B,MATCH(D47,'QAR Kodları'!$A:$A,0)),"KOD BULUNAMADI")</f>
        <v>Receipts for use through licensing arrangements of produced originals or prototypes (such as manuscripts and films)</v>
      </c>
      <c r="F47" s="5" t="s">
        <v>32</v>
      </c>
      <c r="G47" s="6" t="s">
        <v>122</v>
      </c>
      <c r="H47" s="6" t="s">
        <v>82</v>
      </c>
    </row>
    <row r="48" customFormat="false" ht="23.85" hidden="false" customHeight="false" outlineLevel="0" collapsed="false">
      <c r="A48" s="4" t="str">
        <f aca="false">B48&amp;"-"&amp;D48</f>
        <v>5775-A2R02</v>
      </c>
      <c r="B48" s="5" t="n">
        <v>5775</v>
      </c>
      <c r="C48" s="6" t="s">
        <v>124</v>
      </c>
      <c r="D48" s="7" t="s">
        <v>121</v>
      </c>
      <c r="E48" s="6" t="str">
        <f aca="false">IFERROR(INDEX('QAR Kodları'!$B:$B,MATCH(D48,'QAR Kodları'!$A:$A,0)),"KOD BULUNAMADI")</f>
        <v>Receipts for use through licensing arrangements of produced originals or prototypes (such as manuscripts and films)</v>
      </c>
      <c r="F48" s="5" t="s">
        <v>32</v>
      </c>
      <c r="G48" s="6" t="s">
        <v>122</v>
      </c>
      <c r="H48" s="6" t="s">
        <v>82</v>
      </c>
    </row>
    <row r="49" customFormat="false" ht="68.65" hidden="false" customHeight="false" outlineLevel="0" collapsed="false">
      <c r="A49" s="4" t="str">
        <f aca="false">B49&amp;"-"&amp;D49</f>
        <v>5780-A2K03</v>
      </c>
      <c r="B49" s="5" t="n">
        <v>5780</v>
      </c>
      <c r="C49" s="6" t="s">
        <v>125</v>
      </c>
      <c r="D49" s="7" t="s">
        <v>126</v>
      </c>
      <c r="E49" s="6" t="str">
        <f aca="false">IFERROR(INDEX('QAR Kodları'!$B:$B,MATCH(D49,'QAR Kodları'!$A:$A,0)),"KOD BULUNAMADI")</f>
        <v>Receipts on account of settlement of claims for telecommunication services</v>
      </c>
      <c r="F49" s="5" t="s">
        <v>32</v>
      </c>
      <c r="G49" s="6"/>
      <c r="H49" s="6" t="s">
        <v>127</v>
      </c>
    </row>
    <row r="50" customFormat="false" ht="35.05" hidden="false" customHeight="false" outlineLevel="0" collapsed="false">
      <c r="A50" s="4" t="str">
        <f aca="false">B50&amp;"-"&amp;D50</f>
        <v>5781-A2E02</v>
      </c>
      <c r="B50" s="5" t="n">
        <v>5781</v>
      </c>
      <c r="C50" s="6" t="s">
        <v>128</v>
      </c>
      <c r="D50" s="7" t="s">
        <v>129</v>
      </c>
      <c r="E50" s="6" t="str">
        <f aca="false">IFERROR(INDEX('QAR Kodları'!$B:$B,MATCH(D50,'QAR Kodları'!$A:$A,0)),"KOD BULUNAMADI")</f>
        <v>Receipts on account of software implementation</v>
      </c>
      <c r="F50" s="5" t="s">
        <v>32</v>
      </c>
      <c r="G50" s="6"/>
      <c r="H50" s="6" t="s">
        <v>130</v>
      </c>
    </row>
    <row r="51" customFormat="false" ht="46.25" hidden="false" customHeight="false" outlineLevel="0" collapsed="false">
      <c r="A51" s="4" t="str">
        <f aca="false">B51&amp;"-"&amp;D51</f>
        <v>5782-A2E04</v>
      </c>
      <c r="B51" s="5" t="n">
        <v>5782</v>
      </c>
      <c r="C51" s="6" t="s">
        <v>131</v>
      </c>
      <c r="D51" s="7" t="s">
        <v>132</v>
      </c>
      <c r="E51" s="6" t="str">
        <f aca="false">IFERROR(INDEX('QAR Kodları'!$B:$B,MATCH(D51,'QAR Kodları'!$A:$A,0)),"KOD BULUNAMADI")</f>
        <v>Receipts on account of repair and maintenance of computer and software</v>
      </c>
      <c r="F51" s="5" t="s">
        <v>27</v>
      </c>
      <c r="G51" s="6" t="s">
        <v>133</v>
      </c>
      <c r="H51" s="6" t="s">
        <v>130</v>
      </c>
    </row>
    <row r="52" customFormat="false" ht="23.85" hidden="false" customHeight="false" outlineLevel="0" collapsed="false">
      <c r="A52" s="4" t="str">
        <f aca="false">B52&amp;"-"&amp;D52</f>
        <v>5783-A2E05</v>
      </c>
      <c r="B52" s="5" t="n">
        <v>5783</v>
      </c>
      <c r="C52" s="6" t="s">
        <v>134</v>
      </c>
      <c r="D52" s="7" t="s">
        <v>135</v>
      </c>
      <c r="E52" s="6" t="str">
        <f aca="false">IFERROR(INDEX('QAR Kodları'!$B:$B,MATCH(D52,'QAR Kodları'!$A:$A,0)),"KOD BULUNAMADI")</f>
        <v>Receipts on account of provision of news agency services</v>
      </c>
      <c r="F52" s="5" t="s">
        <v>32</v>
      </c>
      <c r="G52" s="6"/>
      <c r="H52" s="6" t="s">
        <v>130</v>
      </c>
    </row>
    <row r="53" customFormat="false" ht="46.25" hidden="false" customHeight="false" outlineLevel="0" collapsed="false">
      <c r="A53" s="4" t="str">
        <f aca="false">B53&amp;"-"&amp;D53</f>
        <v>5784-A2E06</v>
      </c>
      <c r="B53" s="5" t="n">
        <v>5784</v>
      </c>
      <c r="C53" s="6" t="s">
        <v>136</v>
      </c>
      <c r="D53" s="7" t="s">
        <v>137</v>
      </c>
      <c r="E53" s="6" t="str">
        <f aca="false">IFERROR(INDEX('QAR Kodları'!$B:$B,MATCH(D53,'QAR Kodları'!$A:$A,0)),"KOD BULUNAMADI")</f>
        <v>Receipts on account of other information services-subscription to newspapers, periodicals etc.</v>
      </c>
      <c r="F53" s="5" t="s">
        <v>27</v>
      </c>
      <c r="G53" s="6" t="s">
        <v>138</v>
      </c>
      <c r="H53" s="6" t="s">
        <v>130</v>
      </c>
    </row>
    <row r="54" customFormat="false" ht="23.85" hidden="false" customHeight="false" outlineLevel="0" collapsed="false">
      <c r="A54" s="4" t="str">
        <f aca="false">B54&amp;"-"&amp;D54</f>
        <v>5790-A2J08</v>
      </c>
      <c r="B54" s="5" t="n">
        <v>5790</v>
      </c>
      <c r="C54" s="6" t="s">
        <v>139</v>
      </c>
      <c r="D54" s="7" t="s">
        <v>140</v>
      </c>
      <c r="E54" s="6" t="str">
        <f aca="false">IFERROR(INDEX('QAR Kodları'!$B:$B,MATCH(D54,'QAR Kodları'!$A:$A,0)),"KOD BULUNAMADI")</f>
        <v>Receipts towards research &amp; development services</v>
      </c>
      <c r="F54" s="5" t="s">
        <v>32</v>
      </c>
      <c r="G54" s="6"/>
      <c r="H54" s="6" t="s">
        <v>82</v>
      </c>
    </row>
    <row r="55" customFormat="false" ht="23.85" hidden="false" customHeight="false" outlineLevel="0" collapsed="false">
      <c r="A55" s="4" t="str">
        <f aca="false">B55&amp;"-"&amp;D55</f>
        <v>5791-A2J04</v>
      </c>
      <c r="B55" s="5" t="n">
        <v>5791</v>
      </c>
      <c r="C55" s="6" t="s">
        <v>141</v>
      </c>
      <c r="D55" s="7" t="s">
        <v>142</v>
      </c>
      <c r="E55" s="6" t="str">
        <f aca="false">IFERROR(INDEX('QAR Kodları'!$B:$B,MATCH(D55,'QAR Kodları'!$A:$A,0)),"KOD BULUNAMADI")</f>
        <v>Receipts towards legal services</v>
      </c>
      <c r="F55" s="5" t="s">
        <v>32</v>
      </c>
      <c r="G55" s="6"/>
      <c r="H55" s="6" t="s">
        <v>115</v>
      </c>
    </row>
    <row r="56" customFormat="false" ht="23.85" hidden="false" customHeight="false" outlineLevel="0" collapsed="false">
      <c r="A56" s="4" t="str">
        <f aca="false">B56&amp;"-"&amp;D56</f>
        <v>5792-A2J05</v>
      </c>
      <c r="B56" s="5" t="n">
        <v>5792</v>
      </c>
      <c r="C56" s="6" t="s">
        <v>143</v>
      </c>
      <c r="D56" s="7" t="s">
        <v>144</v>
      </c>
      <c r="E56" s="6" t="str">
        <f aca="false">IFERROR(INDEX('QAR Kodları'!$B:$B,MATCH(D56,'QAR Kodları'!$A:$A,0)),"KOD BULUNAMADI")</f>
        <v>Receipts for providing accounting,auditing,book keeping and tax consulting services</v>
      </c>
      <c r="F56" s="5" t="s">
        <v>32</v>
      </c>
      <c r="G56" s="6"/>
      <c r="H56" s="6" t="s">
        <v>82</v>
      </c>
    </row>
    <row r="57" customFormat="false" ht="23.85" hidden="false" customHeight="false" outlineLevel="0" collapsed="false">
      <c r="A57" s="4" t="str">
        <f aca="false">B57&amp;"-"&amp;D57</f>
        <v>5793-A2J06</v>
      </c>
      <c r="B57" s="5" t="n">
        <v>5793</v>
      </c>
      <c r="C57" s="6" t="s">
        <v>145</v>
      </c>
      <c r="D57" s="7" t="s">
        <v>146</v>
      </c>
      <c r="E57" s="6" t="str">
        <f aca="false">IFERROR(INDEX('QAR Kodları'!$B:$B,MATCH(D57,'QAR Kodları'!$A:$A,0)),"KOD BULUNAMADI")</f>
        <v>Receipts for provision of business and management consultancy and public relations services</v>
      </c>
      <c r="F57" s="5" t="s">
        <v>32</v>
      </c>
      <c r="G57" s="6"/>
      <c r="H57" s="6" t="s">
        <v>82</v>
      </c>
    </row>
    <row r="58" customFormat="false" ht="23.85" hidden="false" customHeight="false" outlineLevel="0" collapsed="false">
      <c r="A58" s="4" t="str">
        <f aca="false">B58&amp;"-"&amp;D58</f>
        <v>5794-A2J07</v>
      </c>
      <c r="B58" s="5" t="n">
        <v>5794</v>
      </c>
      <c r="C58" s="6" t="s">
        <v>147</v>
      </c>
      <c r="D58" s="7" t="s">
        <v>148</v>
      </c>
      <c r="E58" s="6" t="str">
        <f aca="false">IFERROR(INDEX('QAR Kodları'!$B:$B,MATCH(D58,'QAR Kodları'!$A:$A,0)),"KOD BULUNAMADI")</f>
        <v>Receipts for advertising, trade fair, market research and public opinion polling service</v>
      </c>
      <c r="F58" s="5" t="s">
        <v>32</v>
      </c>
      <c r="G58" s="6"/>
      <c r="H58" s="6" t="s">
        <v>149</v>
      </c>
    </row>
    <row r="59" customFormat="false" ht="23.85" hidden="false" customHeight="false" outlineLevel="0" collapsed="false">
      <c r="A59" s="4" t="str">
        <f aca="false">B59&amp;"-"&amp;D59</f>
        <v>5795-A2J09</v>
      </c>
      <c r="B59" s="5" t="n">
        <v>5795</v>
      </c>
      <c r="C59" s="6" t="s">
        <v>150</v>
      </c>
      <c r="D59" s="7" t="s">
        <v>151</v>
      </c>
      <c r="E59" s="6" t="str">
        <f aca="false">IFERROR(INDEX('QAR Kodları'!$B:$B,MATCH(D59,'QAR Kodları'!$A:$A,0)),"KOD BULUNAMADI")</f>
        <v>Receipts for providing architectural engineering and other technical services</v>
      </c>
      <c r="F59" s="5" t="s">
        <v>32</v>
      </c>
      <c r="G59" s="6"/>
      <c r="H59" s="6" t="s">
        <v>82</v>
      </c>
    </row>
    <row r="60" customFormat="false" ht="15" hidden="false" customHeight="false" outlineLevel="0" collapsed="false">
      <c r="A60" s="4" t="str">
        <f aca="false">B60&amp;"-"&amp;D60</f>
        <v>5796-A2J13</v>
      </c>
      <c r="B60" s="5" t="n">
        <v>5796</v>
      </c>
      <c r="C60" s="6" t="s">
        <v>152</v>
      </c>
      <c r="D60" s="7" t="s">
        <v>153</v>
      </c>
      <c r="E60" s="6" t="str">
        <f aca="false">IFERROR(INDEX('QAR Kodları'!$B:$B,MATCH(D60,'QAR Kodları'!$A:$A,0)),"KOD BULUNAMADI")</f>
        <v>Inward remit. Towards environmental services</v>
      </c>
      <c r="F60" s="5" t="s">
        <v>32</v>
      </c>
      <c r="G60" s="6" t="s">
        <v>154</v>
      </c>
      <c r="H60" s="6" t="s">
        <v>82</v>
      </c>
    </row>
    <row r="61" customFormat="false" ht="23.85" hidden="false" customHeight="false" outlineLevel="0" collapsed="false">
      <c r="A61" s="4" t="str">
        <f aca="false">B61&amp;"-"&amp;D61</f>
        <v>5797-A2J10</v>
      </c>
      <c r="B61" s="5" t="n">
        <v>5797</v>
      </c>
      <c r="C61" s="6" t="s">
        <v>155</v>
      </c>
      <c r="D61" s="7" t="s">
        <v>156</v>
      </c>
      <c r="E61" s="6" t="str">
        <f aca="false">IFERROR(INDEX('QAR Kodları'!$B:$B,MATCH(D61,'QAR Kodları'!$A:$A,0)),"KOD BULUNAMADI")</f>
        <v>Receipts for agricultural, mining and onsite processing services protection against insects &amp; disease, increasing of harvest yields, forestry s</v>
      </c>
      <c r="F61" s="5" t="s">
        <v>32</v>
      </c>
      <c r="G61" s="6"/>
      <c r="H61" s="6" t="s">
        <v>82</v>
      </c>
    </row>
    <row r="62" customFormat="false" ht="23.85" hidden="false" customHeight="false" outlineLevel="0" collapsed="false">
      <c r="A62" s="4" t="str">
        <f aca="false">B62&amp;"-"&amp;D62</f>
        <v>5798-A2J10</v>
      </c>
      <c r="B62" s="5" t="n">
        <v>5798</v>
      </c>
      <c r="C62" s="6" t="s">
        <v>157</v>
      </c>
      <c r="D62" s="7" t="s">
        <v>156</v>
      </c>
      <c r="E62" s="6" t="str">
        <f aca="false">IFERROR(INDEX('QAR Kodları'!$B:$B,MATCH(D62,'QAR Kodları'!$A:$A,0)),"KOD BULUNAMADI")</f>
        <v>Receipts for agricultural, mining and onsite processing services protection against insects &amp; disease, increasing of harvest yields, forestry s</v>
      </c>
      <c r="F62" s="5" t="s">
        <v>32</v>
      </c>
      <c r="G62" s="6"/>
      <c r="H62" s="6" t="s">
        <v>82</v>
      </c>
    </row>
    <row r="63" customFormat="false" ht="46.25" hidden="false" customHeight="false" outlineLevel="0" collapsed="false">
      <c r="A63" s="4" t="str">
        <f aca="false">B63&amp;"-"&amp;D63</f>
        <v>5799-A2J03</v>
      </c>
      <c r="B63" s="5" t="n">
        <v>5799</v>
      </c>
      <c r="C63" s="6" t="s">
        <v>158</v>
      </c>
      <c r="D63" s="7" t="s">
        <v>159</v>
      </c>
      <c r="E63" s="6" t="str">
        <f aca="false">IFERROR(INDEX('QAR Kodları'!$B:$B,MATCH(D63,'QAR Kodları'!$A:$A,0)),"KOD BULUNAMADI")</f>
        <v>Receipts towards dry operational leasing services (other than financial leasing and without operating crew) including charter hire</v>
      </c>
      <c r="F63" s="5" t="s">
        <v>32</v>
      </c>
      <c r="G63" s="6" t="s">
        <v>160</v>
      </c>
      <c r="H63" s="6" t="s">
        <v>82</v>
      </c>
    </row>
    <row r="64" customFormat="false" ht="46.25" hidden="false" customHeight="false" outlineLevel="0" collapsed="false">
      <c r="A64" s="4" t="str">
        <f aca="false">B64&amp;"-"&amp;D64</f>
        <v>5800-A2J11</v>
      </c>
      <c r="B64" s="5" t="n">
        <v>5800</v>
      </c>
      <c r="C64" s="6" t="s">
        <v>161</v>
      </c>
      <c r="D64" s="7" t="s">
        <v>162</v>
      </c>
      <c r="E64" s="6" t="str">
        <f aca="false">IFERROR(INDEX('QAR Kodları'!$B:$B,MATCH(D64,'QAR Kodları'!$A:$A,0)),"KOD BULUNAMADI")</f>
        <v>Inward remittance for maintenance of offices in Qatar</v>
      </c>
      <c r="F64" s="5" t="s">
        <v>27</v>
      </c>
      <c r="G64" s="6" t="s">
        <v>163</v>
      </c>
      <c r="H64" s="6" t="s">
        <v>82</v>
      </c>
    </row>
    <row r="65" customFormat="false" ht="15" hidden="false" customHeight="false" outlineLevel="0" collapsed="false">
      <c r="A65" s="4" t="str">
        <f aca="false">B65&amp;"-"&amp;D65</f>
        <v>5801-A2J19</v>
      </c>
      <c r="B65" s="5" t="n">
        <v>5801</v>
      </c>
      <c r="C65" s="6" t="s">
        <v>164</v>
      </c>
      <c r="D65" s="7" t="s">
        <v>165</v>
      </c>
      <c r="E65" s="6" t="str">
        <f aca="false">IFERROR(INDEX('QAR Kodları'!$B:$B,MATCH(D65,'QAR Kodları'!$A:$A,0)),"KOD BULUNAMADI")</f>
        <v>Receipts for other services not included elsewhere</v>
      </c>
      <c r="F65" s="5" t="s">
        <v>23</v>
      </c>
      <c r="G65" s="6" t="s">
        <v>166</v>
      </c>
      <c r="H65" s="6" t="s">
        <v>82</v>
      </c>
    </row>
    <row r="66" customFormat="false" ht="15" hidden="false" customHeight="false" outlineLevel="0" collapsed="false">
      <c r="A66" s="4" t="str">
        <f aca="false">B66&amp;"-"&amp;D66</f>
        <v>5802-A2J19</v>
      </c>
      <c r="B66" s="5" t="n">
        <v>5802</v>
      </c>
      <c r="C66" s="6" t="s">
        <v>167</v>
      </c>
      <c r="D66" s="7" t="s">
        <v>165</v>
      </c>
      <c r="E66" s="6" t="str">
        <f aca="false">IFERROR(INDEX('QAR Kodları'!$B:$B,MATCH(D66,'QAR Kodları'!$A:$A,0)),"KOD BULUNAMADI")</f>
        <v>Receipts for other services not included elsewhere</v>
      </c>
      <c r="F66" s="5" t="s">
        <v>23</v>
      </c>
      <c r="G66" s="6" t="s">
        <v>166</v>
      </c>
      <c r="H66" s="6" t="s">
        <v>82</v>
      </c>
    </row>
    <row r="67" customFormat="false" ht="15" hidden="false" customHeight="false" outlineLevel="0" collapsed="false">
      <c r="A67" s="4" t="str">
        <f aca="false">B67&amp;"-"&amp;D67</f>
        <v>5803-A2J19</v>
      </c>
      <c r="B67" s="5" t="n">
        <v>5803</v>
      </c>
      <c r="C67" s="6" t="s">
        <v>168</v>
      </c>
      <c r="D67" s="7" t="s">
        <v>165</v>
      </c>
      <c r="E67" s="6" t="str">
        <f aca="false">IFERROR(INDEX('QAR Kodları'!$B:$B,MATCH(D67,'QAR Kodları'!$A:$A,0)),"KOD BULUNAMADI")</f>
        <v>Receipts for other services not included elsewhere</v>
      </c>
      <c r="F67" s="5" t="s">
        <v>23</v>
      </c>
      <c r="G67" s="6" t="s">
        <v>166</v>
      </c>
      <c r="H67" s="6" t="s">
        <v>82</v>
      </c>
    </row>
    <row r="68" customFormat="false" ht="23.85" hidden="false" customHeight="false" outlineLevel="0" collapsed="false">
      <c r="A68" s="4" t="str">
        <f aca="false">B68&amp;"-"&amp;D68</f>
        <v>5805-A2J19</v>
      </c>
      <c r="B68" s="5" t="n">
        <v>5805</v>
      </c>
      <c r="C68" s="6" t="s">
        <v>169</v>
      </c>
      <c r="D68" s="7" t="s">
        <v>165</v>
      </c>
      <c r="E68" s="6" t="str">
        <f aca="false">IFERROR(INDEX('QAR Kodları'!$B:$B,MATCH(D68,'QAR Kodları'!$A:$A,0)),"KOD BULUNAMADI")</f>
        <v>Receipts for other services not included elsewhere</v>
      </c>
      <c r="F68" s="5" t="s">
        <v>23</v>
      </c>
      <c r="G68" s="6" t="s">
        <v>170</v>
      </c>
      <c r="H68" s="6" t="s">
        <v>149</v>
      </c>
    </row>
    <row r="69" customFormat="false" ht="57.45" hidden="false" customHeight="false" outlineLevel="0" collapsed="false">
      <c r="A69" s="4" t="str">
        <f aca="false">B69&amp;"-"&amp;D69</f>
        <v>5807-A2J02</v>
      </c>
      <c r="B69" s="5" t="n">
        <v>5807</v>
      </c>
      <c r="C69" s="6" t="s">
        <v>171</v>
      </c>
      <c r="D69" s="7" t="s">
        <v>172</v>
      </c>
      <c r="E69" s="6" t="str">
        <f aca="false">IFERROR(INDEX('QAR Kodları'!$B:$B,MATCH(D69,'QAR Kodları'!$A:$A,0)),"KOD BULUNAMADI")</f>
        <v>Trade related services - commission on exports/imports</v>
      </c>
      <c r="F69" s="5" t="s">
        <v>32</v>
      </c>
      <c r="G69" s="6" t="s">
        <v>173</v>
      </c>
      <c r="H69" s="6" t="s">
        <v>149</v>
      </c>
    </row>
    <row r="70" customFormat="false" ht="57.45" hidden="false" customHeight="false" outlineLevel="0" collapsed="false">
      <c r="A70" s="4" t="str">
        <f aca="false">B70&amp;"-"&amp;D70</f>
        <v>5810-A2H01</v>
      </c>
      <c r="B70" s="5" t="n">
        <v>5810</v>
      </c>
      <c r="C70" s="6" t="s">
        <v>174</v>
      </c>
      <c r="D70" s="7" t="s">
        <v>175</v>
      </c>
      <c r="E70" s="6" t="str">
        <f aca="false">IFERROR(INDEX('QAR Kodları'!$B:$B,MATCH(D70,'QAR Kodları'!$A:$A,0)),"KOD BULUNAMADI")</f>
        <v>Receipts for audio-visual and related services services and associated fees related to production of motion pictures,rentals,fees received b</v>
      </c>
      <c r="F70" s="5" t="s">
        <v>32</v>
      </c>
      <c r="G70" s="6"/>
      <c r="H70" s="6" t="s">
        <v>176</v>
      </c>
    </row>
    <row r="71" customFormat="false" ht="35.05" hidden="false" customHeight="false" outlineLevel="0" collapsed="false">
      <c r="A71" s="4" t="str">
        <f aca="false">B71&amp;"-"&amp;D71</f>
        <v>5811-A2H01</v>
      </c>
      <c r="B71" s="5" t="n">
        <v>5811</v>
      </c>
      <c r="C71" s="6" t="s">
        <v>177</v>
      </c>
      <c r="D71" s="7" t="s">
        <v>175</v>
      </c>
      <c r="E71" s="6" t="str">
        <f aca="false">IFERROR(INDEX('QAR Kodları'!$B:$B,MATCH(D71,'QAR Kodları'!$A:$A,0)),"KOD BULUNAMADI")</f>
        <v>Receipts for audio-visual and related services services and associated fees related to production of motion pictures,rentals,fees received b</v>
      </c>
      <c r="F71" s="5" t="s">
        <v>32</v>
      </c>
      <c r="G71" s="6"/>
      <c r="H71" s="6" t="s">
        <v>176</v>
      </c>
    </row>
    <row r="72" customFormat="false" ht="57.45" hidden="false" customHeight="false" outlineLevel="0" collapsed="false">
      <c r="A72" s="4" t="str">
        <f aca="false">B72&amp;"-"&amp;D72</f>
        <v>5812-A2H02</v>
      </c>
      <c r="B72" s="5" t="n">
        <v>5812</v>
      </c>
      <c r="C72" s="6" t="s">
        <v>178</v>
      </c>
      <c r="D72" s="7" t="s">
        <v>179</v>
      </c>
      <c r="E72" s="6" t="str">
        <f aca="false">IFERROR(INDEX('QAR Kodları'!$B:$B,MATCH(D72,'QAR Kodları'!$A:$A,0)),"KOD BULUNAMADI")</f>
        <v>Receipts towards personal cultural services such as those related to museums libraries archives and sporting activities also includes fees</v>
      </c>
      <c r="F72" s="5" t="s">
        <v>27</v>
      </c>
      <c r="G72" s="6"/>
      <c r="H72" s="6" t="s">
        <v>176</v>
      </c>
    </row>
    <row r="73" customFormat="false" ht="23.85" hidden="false" customHeight="false" outlineLevel="0" collapsed="false">
      <c r="A73" s="4" t="str">
        <f aca="false">B73&amp;"-"&amp;D73</f>
        <v>5813-A2H02</v>
      </c>
      <c r="B73" s="5" t="n">
        <v>5813</v>
      </c>
      <c r="C73" s="6" t="s">
        <v>180</v>
      </c>
      <c r="D73" s="7" t="s">
        <v>179</v>
      </c>
      <c r="E73" s="6" t="str">
        <f aca="false">IFERROR(INDEX('QAR Kodları'!$B:$B,MATCH(D73,'QAR Kodları'!$A:$A,0)),"KOD BULUNAMADI")</f>
        <v>Receipts towards personal cultural services such as those related to museums libraries archives and sporting activities also includes fees</v>
      </c>
      <c r="F73" s="5" t="s">
        <v>27</v>
      </c>
      <c r="G73" s="6"/>
      <c r="H73" s="6" t="s">
        <v>176</v>
      </c>
    </row>
    <row r="74" customFormat="false" ht="35.05" hidden="false" customHeight="false" outlineLevel="0" collapsed="false">
      <c r="A74" s="4" t="str">
        <f aca="false">B74&amp;"-"&amp;D74</f>
        <v>5830-A2G07</v>
      </c>
      <c r="B74" s="5" t="n">
        <v>5830</v>
      </c>
      <c r="C74" s="6" t="s">
        <v>181</v>
      </c>
      <c r="D74" s="7" t="s">
        <v>182</v>
      </c>
      <c r="E74" s="6" t="str">
        <f aca="false">IFERROR(INDEX('QAR Kodları'!$B:$B,MATCH(D74,'QAR Kodları'!$A:$A,0)),"KOD BULUNAMADI")</f>
        <v>incoming remittances on account of government services</v>
      </c>
      <c r="F74" s="5" t="s">
        <v>27</v>
      </c>
      <c r="G74" s="6" t="s">
        <v>183</v>
      </c>
      <c r="H74" s="6" t="s">
        <v>184</v>
      </c>
    </row>
    <row r="75" customFormat="false" ht="57.45" hidden="false" customHeight="false" outlineLevel="0" collapsed="false">
      <c r="A75" s="4" t="str">
        <f aca="false">B75&amp;"-"&amp;D75</f>
        <v>5831-A2G01</v>
      </c>
      <c r="B75" s="5" t="n">
        <v>5831</v>
      </c>
      <c r="C75" s="6" t="s">
        <v>185</v>
      </c>
      <c r="D75" s="7" t="s">
        <v>186</v>
      </c>
      <c r="E75" s="6" t="str">
        <f aca="false">IFERROR(INDEX('QAR Kodları'!$B:$B,MATCH(D75,'QAR Kodları'!$A:$A,0)),"KOD BULUNAMADI")</f>
        <v>Inward remittance received for maintenance of foreign embassies in Qatar</v>
      </c>
      <c r="F75" s="5" t="s">
        <v>32</v>
      </c>
      <c r="G75" s="6" t="s">
        <v>187</v>
      </c>
      <c r="H75" s="6" t="s">
        <v>184</v>
      </c>
    </row>
    <row r="76" customFormat="false" ht="15" hidden="false" customHeight="false" outlineLevel="0" collapsed="false">
      <c r="A76" s="4" t="str">
        <f aca="false">B76&amp;"-"&amp;D76</f>
        <v>5832-A2G07</v>
      </c>
      <c r="B76" s="5" t="n">
        <v>5832</v>
      </c>
      <c r="C76" s="6" t="s">
        <v>188</v>
      </c>
      <c r="D76" s="7" t="s">
        <v>182</v>
      </c>
      <c r="E76" s="6" t="str">
        <f aca="false">IFERROR(INDEX('QAR Kodları'!$B:$B,MATCH(D76,'QAR Kodları'!$A:$A,0)),"KOD BULUNAMADI")</f>
        <v>incoming remittances on account of government services</v>
      </c>
      <c r="F76" s="5" t="s">
        <v>27</v>
      </c>
      <c r="G76" s="6"/>
      <c r="H76" s="6" t="s">
        <v>184</v>
      </c>
    </row>
    <row r="77" customFormat="false" ht="23.85" hidden="false" customHeight="false" outlineLevel="0" collapsed="false">
      <c r="A77" s="4" t="str">
        <f aca="false">B77&amp;"-"&amp;D77</f>
        <v>5840-A2J19</v>
      </c>
      <c r="B77" s="5" t="n">
        <v>5840</v>
      </c>
      <c r="C77" s="6" t="s">
        <v>189</v>
      </c>
      <c r="D77" s="7" t="s">
        <v>165</v>
      </c>
      <c r="E77" s="6" t="str">
        <f aca="false">IFERROR(INDEX('QAR Kodları'!$B:$B,MATCH(D77,'QAR Kodları'!$A:$A,0)),"KOD BULUNAMADI")</f>
        <v>Receipts for other services not included elsewhere</v>
      </c>
      <c r="F77" s="5" t="s">
        <v>23</v>
      </c>
      <c r="G77" s="6" t="s">
        <v>190</v>
      </c>
      <c r="H77" s="6" t="s">
        <v>82</v>
      </c>
    </row>
    <row r="78" customFormat="false" ht="46.25" hidden="false" customHeight="false" outlineLevel="0" collapsed="false">
      <c r="A78" s="4" t="str">
        <f aca="false">B78&amp;"-"&amp;D78</f>
        <v>5850-A2J19</v>
      </c>
      <c r="B78" s="5" t="n">
        <v>5850</v>
      </c>
      <c r="C78" s="6" t="s">
        <v>191</v>
      </c>
      <c r="D78" s="7" t="s">
        <v>165</v>
      </c>
      <c r="E78" s="6" t="str">
        <f aca="false">IFERROR(INDEX('QAR Kodları'!$B:$B,MATCH(D78,'QAR Kodları'!$A:$A,0)),"KOD BULUNAMADI")</f>
        <v>Receipts for other services not included elsewhere</v>
      </c>
      <c r="F78" s="5" t="s">
        <v>23</v>
      </c>
      <c r="G78" s="6" t="s">
        <v>192</v>
      </c>
      <c r="H78" s="6" t="s">
        <v>82</v>
      </c>
    </row>
    <row r="79" customFormat="false" ht="23.85" hidden="false" customHeight="false" outlineLevel="0" collapsed="false">
      <c r="A79" s="4" t="str">
        <f aca="false">B79&amp;"-"&amp;D79</f>
        <v>5860-A3A05</v>
      </c>
      <c r="B79" s="5" t="n">
        <v>5860</v>
      </c>
      <c r="C79" s="6" t="s">
        <v>193</v>
      </c>
      <c r="D79" s="7" t="s">
        <v>194</v>
      </c>
      <c r="E79" s="6" t="str">
        <f aca="false">IFERROR(INDEX('QAR Kodları'!$B:$B,MATCH(D79,'QAR Kodları'!$A:$A,0)),"KOD BULUNAMADI")</f>
        <v>Inwards remittance towards interest receipts of ads on their own account (on investments)</v>
      </c>
      <c r="F79" s="5" t="s">
        <v>27</v>
      </c>
      <c r="G79" s="6" t="s">
        <v>195</v>
      </c>
      <c r="H79" s="6" t="s">
        <v>196</v>
      </c>
    </row>
    <row r="80" customFormat="false" ht="23.85" hidden="false" customHeight="false" outlineLevel="0" collapsed="false">
      <c r="A80" s="4" t="str">
        <f aca="false">B80&amp;"-"&amp;D80</f>
        <v>5861-A3A05</v>
      </c>
      <c r="B80" s="5" t="n">
        <v>5861</v>
      </c>
      <c r="C80" s="6" t="s">
        <v>197</v>
      </c>
      <c r="D80" s="7" t="s">
        <v>194</v>
      </c>
      <c r="E80" s="6" t="str">
        <f aca="false">IFERROR(INDEX('QAR Kodları'!$B:$B,MATCH(D80,'QAR Kodları'!$A:$A,0)),"KOD BULUNAMADI")</f>
        <v>Inwards remittance towards interest receipts of ads on their own account (on investments)</v>
      </c>
      <c r="F80" s="5" t="s">
        <v>23</v>
      </c>
      <c r="G80" s="6" t="s">
        <v>198</v>
      </c>
      <c r="H80" s="6" t="s">
        <v>196</v>
      </c>
    </row>
    <row r="81" customFormat="false" ht="35.05" hidden="false" customHeight="false" outlineLevel="0" collapsed="false">
      <c r="A81" s="4" t="str">
        <f aca="false">B81&amp;"-"&amp;D81</f>
        <v>5862-A3A03</v>
      </c>
      <c r="B81" s="5" t="n">
        <v>5862</v>
      </c>
      <c r="C81" s="6" t="s">
        <v>199</v>
      </c>
      <c r="D81" s="7" t="s">
        <v>200</v>
      </c>
      <c r="E81" s="6" t="str">
        <f aca="false">IFERROR(INDEX('QAR Kodları'!$B:$B,MATCH(D81,'QAR Kodları'!$A:$A,0)),"KOD BULUNAMADI")</f>
        <v>Inwards remittance towards interest on loans extended to non residents (st/mt/lt loans)</v>
      </c>
      <c r="F81" s="5" t="s">
        <v>27</v>
      </c>
      <c r="G81" s="6" t="s">
        <v>201</v>
      </c>
      <c r="H81" s="6" t="s">
        <v>202</v>
      </c>
    </row>
    <row r="82" customFormat="false" ht="46.25" hidden="false" customHeight="false" outlineLevel="0" collapsed="false">
      <c r="A82" s="4" t="str">
        <f aca="false">B82&amp;"-"&amp;D82</f>
        <v>5880-A4B07</v>
      </c>
      <c r="B82" s="5" t="n">
        <v>5880</v>
      </c>
      <c r="C82" s="6" t="s">
        <v>203</v>
      </c>
      <c r="D82" s="7" t="s">
        <v>204</v>
      </c>
      <c r="E82" s="6" t="str">
        <f aca="false">IFERROR(INDEX('QAR Kodları'!$B:$B,MATCH(D82,'QAR Kodları'!$A:$A,0)),"KOD BULUNAMADI")</f>
        <v>Compensation of employees (short term)</v>
      </c>
      <c r="F82" s="5" t="s">
        <v>32</v>
      </c>
      <c r="G82" s="6" t="s">
        <v>205</v>
      </c>
      <c r="H82" s="6" t="s">
        <v>90</v>
      </c>
    </row>
    <row r="83" customFormat="false" ht="23.85" hidden="false" customHeight="false" outlineLevel="0" collapsed="false">
      <c r="A83" s="4" t="str">
        <f aca="false">B83&amp;"-"&amp;D83</f>
        <v>5881-A4B07</v>
      </c>
      <c r="B83" s="5" t="n">
        <v>5881</v>
      </c>
      <c r="C83" s="6" t="s">
        <v>206</v>
      </c>
      <c r="D83" s="7" t="s">
        <v>204</v>
      </c>
      <c r="E83" s="6" t="str">
        <f aca="false">IFERROR(INDEX('QAR Kodları'!$B:$B,MATCH(D83,'QAR Kodları'!$A:$A,0)),"KOD BULUNAMADI")</f>
        <v>Compensation of employees (short term)</v>
      </c>
      <c r="F83" s="5" t="s">
        <v>32</v>
      </c>
      <c r="G83" s="6" t="s">
        <v>205</v>
      </c>
      <c r="H83" s="6" t="s">
        <v>90</v>
      </c>
    </row>
    <row r="84" customFormat="false" ht="23.85" hidden="false" customHeight="false" outlineLevel="0" collapsed="false">
      <c r="A84" s="4" t="str">
        <f aca="false">B84&amp;"-"&amp;D84</f>
        <v>5900-A4B04</v>
      </c>
      <c r="B84" s="5" t="n">
        <v>5900</v>
      </c>
      <c r="C84" s="6" t="s">
        <v>207</v>
      </c>
      <c r="D84" s="7" t="s">
        <v>208</v>
      </c>
      <c r="E84" s="6" t="str">
        <f aca="false">IFERROR(INDEX('QAR Kodları'!$B:$B,MATCH(D84,'QAR Kodları'!$A:$A,0)),"KOD BULUNAMADI")</f>
        <v>Inward remittance towards grants and donations to government and charitable institution established by the governments</v>
      </c>
      <c r="F84" s="5" t="s">
        <v>27</v>
      </c>
      <c r="G84" s="6" t="s">
        <v>209</v>
      </c>
      <c r="H84" s="6" t="s">
        <v>184</v>
      </c>
    </row>
    <row r="85" customFormat="false" ht="23.85" hidden="false" customHeight="false" outlineLevel="0" collapsed="false">
      <c r="A85" s="4" t="str">
        <f aca="false">B85&amp;"-"&amp;D85</f>
        <v>5901-A4B04</v>
      </c>
      <c r="B85" s="5" t="n">
        <v>5901</v>
      </c>
      <c r="C85" s="6" t="s">
        <v>210</v>
      </c>
      <c r="D85" s="7" t="s">
        <v>208</v>
      </c>
      <c r="E85" s="6" t="str">
        <f aca="false">IFERROR(INDEX('QAR Kodları'!$B:$B,MATCH(D85,'QAR Kodları'!$A:$A,0)),"KOD BULUNAMADI")</f>
        <v>Inward remittance towards grants and donations to government and charitable institution established by the governments</v>
      </c>
      <c r="F85" s="5" t="s">
        <v>27</v>
      </c>
      <c r="G85" s="6" t="s">
        <v>209</v>
      </c>
      <c r="H85" s="6" t="s">
        <v>184</v>
      </c>
    </row>
    <row r="86" customFormat="false" ht="23.85" hidden="false" customHeight="false" outlineLevel="0" collapsed="false">
      <c r="A86" s="4" t="str">
        <f aca="false">B86&amp;"-"&amp;D86</f>
        <v>5902-A4B02</v>
      </c>
      <c r="B86" s="5" t="n">
        <v>5902</v>
      </c>
      <c r="C86" s="6" t="s">
        <v>211</v>
      </c>
      <c r="D86" s="7" t="s">
        <v>212</v>
      </c>
      <c r="E86" s="6" t="str">
        <f aca="false">IFERROR(INDEX('QAR Kodları'!$B:$B,MATCH(D86,'QAR Kodları'!$A:$A,0)),"KOD BULUNAMADI")</f>
        <v>Inward remittance towards personal gifts and donations</v>
      </c>
      <c r="F86" s="5" t="s">
        <v>23</v>
      </c>
      <c r="G86" s="6" t="s">
        <v>213</v>
      </c>
      <c r="H86" s="6" t="s">
        <v>184</v>
      </c>
    </row>
    <row r="87" customFormat="false" ht="35.05" hidden="false" customHeight="false" outlineLevel="0" collapsed="false">
      <c r="A87" s="4" t="str">
        <f aca="false">B87&amp;"-"&amp;D87</f>
        <v>5903-A4B06</v>
      </c>
      <c r="B87" s="5" t="n">
        <v>5903</v>
      </c>
      <c r="C87" s="6" t="s">
        <v>214</v>
      </c>
      <c r="D87" s="7" t="s">
        <v>215</v>
      </c>
      <c r="E87" s="6" t="str">
        <f aca="false">IFERROR(INDEX('QAR Kodları'!$B:$B,MATCH(D87,'QAR Kodları'!$A:$A,0)),"KOD BULUNAMADI")</f>
        <v>Receipts towards receipts/refund of taxes</v>
      </c>
      <c r="F87" s="5" t="s">
        <v>32</v>
      </c>
      <c r="G87" s="6" t="s">
        <v>216</v>
      </c>
      <c r="H87" s="6" t="s">
        <v>184</v>
      </c>
    </row>
    <row r="88" customFormat="false" ht="23.85" hidden="false" customHeight="false" outlineLevel="0" collapsed="false">
      <c r="A88" s="4" t="str">
        <f aca="false">B88&amp;"-"&amp;D88</f>
        <v>5904-A4B04</v>
      </c>
      <c r="B88" s="5" t="n">
        <v>5904</v>
      </c>
      <c r="C88" s="6" t="s">
        <v>217</v>
      </c>
      <c r="D88" s="7" t="s">
        <v>208</v>
      </c>
      <c r="E88" s="6" t="str">
        <f aca="false">IFERROR(INDEX('QAR Kodları'!$B:$B,MATCH(D88,'QAR Kodları'!$A:$A,0)),"KOD BULUNAMADI")</f>
        <v>Inward remittance towards grants and donations to government and charitable institution established by the governments</v>
      </c>
      <c r="F88" s="5" t="s">
        <v>27</v>
      </c>
      <c r="G88" s="6" t="s">
        <v>209</v>
      </c>
      <c r="H88" s="6" t="s">
        <v>184</v>
      </c>
    </row>
    <row r="89" customFormat="false" ht="23.85" hidden="false" customHeight="false" outlineLevel="0" collapsed="false">
      <c r="A89" s="4" t="str">
        <f aca="false">B89&amp;"-"&amp;D89</f>
        <v>5905-A4B06</v>
      </c>
      <c r="B89" s="5" t="n">
        <v>5905</v>
      </c>
      <c r="C89" s="6" t="s">
        <v>218</v>
      </c>
      <c r="D89" s="7" t="s">
        <v>215</v>
      </c>
      <c r="E89" s="6" t="str">
        <f aca="false">IFERROR(INDEX('QAR Kodları'!$B:$B,MATCH(D89,'QAR Kodları'!$A:$A,0)),"KOD BULUNAMADI")</f>
        <v>Receipts towards receipts/refund of taxes</v>
      </c>
      <c r="F89" s="5" t="s">
        <v>23</v>
      </c>
      <c r="G89" s="6" t="s">
        <v>219</v>
      </c>
      <c r="H89" s="6" t="s">
        <v>90</v>
      </c>
    </row>
    <row r="90" customFormat="false" ht="23.85" hidden="false" customHeight="false" outlineLevel="0" collapsed="false">
      <c r="A90" s="4" t="str">
        <f aca="false">B90&amp;"-"&amp;D90</f>
        <v>5906-A2A13</v>
      </c>
      <c r="B90" s="5" t="n">
        <v>5906</v>
      </c>
      <c r="C90" s="6" t="s">
        <v>220</v>
      </c>
      <c r="D90" s="7" t="s">
        <v>49</v>
      </c>
      <c r="E90" s="6" t="str">
        <f aca="false">IFERROR(INDEX('QAR Kodları'!$B:$B,MATCH(D90,'QAR Kodları'!$A:$A,0)),"KOD BULUNAMADI")</f>
        <v>Receipts towards other transportation services (stevedoring demurrage port handling charges etc</v>
      </c>
      <c r="F90" s="5" t="s">
        <v>23</v>
      </c>
      <c r="G90" s="6" t="s">
        <v>221</v>
      </c>
      <c r="H90" s="6" t="s">
        <v>90</v>
      </c>
    </row>
    <row r="91" customFormat="false" ht="23.85" hidden="false" customHeight="false" outlineLevel="0" collapsed="false">
      <c r="A91" s="4" t="str">
        <f aca="false">B91&amp;"-"&amp;D91</f>
        <v>5907-A4B06</v>
      </c>
      <c r="B91" s="5" t="n">
        <v>5907</v>
      </c>
      <c r="C91" s="6" t="s">
        <v>222</v>
      </c>
      <c r="D91" s="7" t="s">
        <v>215</v>
      </c>
      <c r="E91" s="6" t="str">
        <f aca="false">IFERROR(INDEX('QAR Kodları'!$B:$B,MATCH(D91,'QAR Kodları'!$A:$A,0)),"KOD BULUNAMADI")</f>
        <v>Receipts towards receipts/refund of taxes</v>
      </c>
      <c r="F91" s="5" t="s">
        <v>27</v>
      </c>
      <c r="G91" s="6" t="s">
        <v>223</v>
      </c>
      <c r="H91" s="6" t="s">
        <v>115</v>
      </c>
    </row>
    <row r="92" customFormat="false" ht="23.85" hidden="false" customHeight="false" outlineLevel="0" collapsed="false">
      <c r="A92" s="4" t="str">
        <f aca="false">B92&amp;"-"&amp;D92</f>
        <v>5908-A4B06</v>
      </c>
      <c r="B92" s="5" t="n">
        <v>5908</v>
      </c>
      <c r="C92" s="6" t="s">
        <v>224</v>
      </c>
      <c r="D92" s="7" t="s">
        <v>215</v>
      </c>
      <c r="E92" s="6" t="str">
        <f aca="false">IFERROR(INDEX('QAR Kodları'!$B:$B,MATCH(D92,'QAR Kodları'!$A:$A,0)),"KOD BULUNAMADI")</f>
        <v>Receipts towards receipts/refund of taxes</v>
      </c>
      <c r="F92" s="5" t="s">
        <v>27</v>
      </c>
      <c r="G92" s="6" t="s">
        <v>225</v>
      </c>
      <c r="H92" s="6" t="s">
        <v>90</v>
      </c>
    </row>
    <row r="93" customFormat="false" ht="23.85" hidden="false" customHeight="false" outlineLevel="0" collapsed="false">
      <c r="A93" s="4" t="str">
        <f aca="false">B93&amp;"-"&amp;D93</f>
        <v>5909-A2J19</v>
      </c>
      <c r="B93" s="5" t="n">
        <v>5909</v>
      </c>
      <c r="C93" s="6" t="s">
        <v>226</v>
      </c>
      <c r="D93" s="7" t="s">
        <v>165</v>
      </c>
      <c r="E93" s="6" t="str">
        <f aca="false">IFERROR(INDEX('QAR Kodları'!$B:$B,MATCH(D93,'QAR Kodları'!$A:$A,0)),"KOD BULUNAMADI")</f>
        <v>Receipts for other services not included elsewhere</v>
      </c>
      <c r="F93" s="5" t="s">
        <v>23</v>
      </c>
      <c r="G93" s="6" t="s">
        <v>227</v>
      </c>
      <c r="H93" s="6" t="s">
        <v>115</v>
      </c>
    </row>
    <row r="94" customFormat="false" ht="23.85" hidden="false" customHeight="false" outlineLevel="0" collapsed="false">
      <c r="A94" s="4" t="str">
        <f aca="false">B94&amp;"-"&amp;D94</f>
        <v>5910-A4A01</v>
      </c>
      <c r="B94" s="5" t="n">
        <v>5910</v>
      </c>
      <c r="C94" s="6" t="s">
        <v>228</v>
      </c>
      <c r="D94" s="7" t="s">
        <v>229</v>
      </c>
      <c r="E94" s="6" t="str">
        <f aca="false">IFERROR(INDEX('QAR Kodları'!$B:$B,MATCH(D94,'QAR Kodları'!$A:$A,0)),"KOD BULUNAMADI")</f>
        <v>Inward remittance from the Qatari non residents towards family maintenance and savings</v>
      </c>
      <c r="F94" s="5" t="s">
        <v>32</v>
      </c>
      <c r="G94" s="6" t="s">
        <v>230</v>
      </c>
      <c r="H94" s="6" t="s">
        <v>90</v>
      </c>
    </row>
    <row r="95" customFormat="false" ht="23.85" hidden="false" customHeight="false" outlineLevel="0" collapsed="false">
      <c r="A95" s="4" t="str">
        <f aca="false">B95&amp;"-"&amp;D95</f>
        <v>5911-A4B02</v>
      </c>
      <c r="B95" s="5" t="n">
        <v>5911</v>
      </c>
      <c r="C95" s="6" t="s">
        <v>231</v>
      </c>
      <c r="D95" s="7" t="s">
        <v>212</v>
      </c>
      <c r="E95" s="6" t="str">
        <f aca="false">IFERROR(INDEX('QAR Kodları'!$B:$B,MATCH(D95,'QAR Kodları'!$A:$A,0)),"KOD BULUNAMADI")</f>
        <v>Inward remittance towards personal gifts and donations</v>
      </c>
      <c r="F95" s="5" t="s">
        <v>32</v>
      </c>
      <c r="G95" s="6" t="s">
        <v>232</v>
      </c>
      <c r="H95" s="6" t="s">
        <v>90</v>
      </c>
    </row>
    <row r="96" customFormat="false" ht="23.85" hidden="false" customHeight="false" outlineLevel="0" collapsed="false">
      <c r="A96" s="4" t="str">
        <f aca="false">B96&amp;"-"&amp;D96</f>
        <v>5920-A5A17</v>
      </c>
      <c r="B96" s="5" t="n">
        <v>5920</v>
      </c>
      <c r="C96" s="6" t="s">
        <v>233</v>
      </c>
      <c r="D96" s="7" t="s">
        <v>234</v>
      </c>
      <c r="E96" s="6" t="str">
        <f aca="false">IFERROR(INDEX('QAR Kodları'!$B:$B,MATCH(D96,'QAR Kodları'!$A:$A,0)),"KOD BULUNAMADI")</f>
        <v>Purchases towards sale of intangible assets (patents,copyrights,trade marks etc.) By Qatari companies</v>
      </c>
      <c r="F96" s="5" t="s">
        <v>32</v>
      </c>
      <c r="G96" s="6" t="s">
        <v>235</v>
      </c>
      <c r="H96" s="6" t="s">
        <v>82</v>
      </c>
    </row>
    <row r="97" customFormat="false" ht="23.85" hidden="false" customHeight="false" outlineLevel="0" collapsed="false">
      <c r="A97" s="4" t="str">
        <f aca="false">B97&amp;"-"&amp;D97</f>
        <v>5921-A4B04</v>
      </c>
      <c r="B97" s="5" t="n">
        <v>5921</v>
      </c>
      <c r="C97" s="6" t="s">
        <v>236</v>
      </c>
      <c r="D97" s="7" t="s">
        <v>208</v>
      </c>
      <c r="E97" s="6" t="str">
        <f aca="false">IFERROR(INDEX('QAR Kodları'!$B:$B,MATCH(D97,'QAR Kodları'!$A:$A,0)),"KOD BULUNAMADI")</f>
        <v>Inward remittance towards grants and donations to government and charitable institution established by the governments</v>
      </c>
      <c r="F97" s="5" t="s">
        <v>27</v>
      </c>
      <c r="G97" s="6" t="s">
        <v>209</v>
      </c>
      <c r="H97" s="6" t="s">
        <v>184</v>
      </c>
    </row>
    <row r="98" customFormat="false" ht="23.85" hidden="false" customHeight="false" outlineLevel="0" collapsed="false">
      <c r="A98" s="4" t="str">
        <f aca="false">B98&amp;"-"&amp;D98</f>
        <v>5922-A6C18</v>
      </c>
      <c r="B98" s="5" t="n">
        <v>5922</v>
      </c>
      <c r="C98" s="6" t="s">
        <v>237</v>
      </c>
      <c r="D98" s="7" t="s">
        <v>238</v>
      </c>
      <c r="E98" s="6" t="str">
        <f aca="false">IFERROR(INDEX('QAR Kodları'!$B:$B,MATCH(D98,'QAR Kodları'!$A:$A,0)),"KOD BULUNAMADI")</f>
        <v>Other capital receipts (not included else where)</v>
      </c>
      <c r="F98" s="5" t="s">
        <v>23</v>
      </c>
      <c r="G98" s="6" t="s">
        <v>239</v>
      </c>
      <c r="H98" s="6" t="s">
        <v>90</v>
      </c>
    </row>
    <row r="99" customFormat="false" ht="15" hidden="false" customHeight="false" outlineLevel="0" collapsed="false">
      <c r="A99" s="4" t="str">
        <f aca="false">B99&amp;"-"&amp;D99</f>
        <v>T5930-A6C18</v>
      </c>
      <c r="B99" s="5" t="s">
        <v>240</v>
      </c>
      <c r="C99" s="6" t="s">
        <v>241</v>
      </c>
      <c r="D99" s="7" t="s">
        <v>238</v>
      </c>
      <c r="E99" s="6" t="str">
        <f aca="false">IFERROR(INDEX('QAR Kodları'!$B:$B,MATCH(D99,'QAR Kodları'!$A:$A,0)),"KOD BULUNAMADI")</f>
        <v>Other capital receipts (not included else where)</v>
      </c>
      <c r="F99" s="5" t="s">
        <v>23</v>
      </c>
      <c r="G99" s="6" t="s">
        <v>242</v>
      </c>
      <c r="H99" s="6" t="s">
        <v>243</v>
      </c>
    </row>
    <row r="100" customFormat="false" ht="23.85" hidden="false" customHeight="false" outlineLevel="0" collapsed="false">
      <c r="A100" s="4" t="str">
        <f aca="false">B100&amp;"-"&amp;D100</f>
        <v>6051-A6C11</v>
      </c>
      <c r="B100" s="5" t="n">
        <v>6051</v>
      </c>
      <c r="C100" s="6" t="s">
        <v>244</v>
      </c>
      <c r="D100" s="7" t="s">
        <v>245</v>
      </c>
      <c r="E100" s="6" t="str">
        <f aca="false">IFERROR(INDEX('QAR Kodları'!$B:$B,MATCH(D100,'QAR Kodları'!$A:$A,0)),"KOD BULUNAMADI")</f>
        <v>Repayment of loans extended to non-residents</v>
      </c>
      <c r="F100" s="5" t="s">
        <v>32</v>
      </c>
      <c r="G100" s="6" t="s">
        <v>246</v>
      </c>
      <c r="H100" s="6" t="s">
        <v>247</v>
      </c>
    </row>
    <row r="101" customFormat="false" ht="23.85" hidden="false" customHeight="false" outlineLevel="0" collapsed="false">
      <c r="A101" s="4" t="str">
        <f aca="false">B101&amp;"-"&amp;D101</f>
        <v>6052-A3A03</v>
      </c>
      <c r="B101" s="5" t="n">
        <v>6052</v>
      </c>
      <c r="C101" s="6" t="s">
        <v>248</v>
      </c>
      <c r="D101" s="7" t="s">
        <v>200</v>
      </c>
      <c r="E101" s="6" t="str">
        <f aca="false">IFERROR(INDEX('QAR Kodları'!$B:$B,MATCH(D101,'QAR Kodları'!$A:$A,0)),"KOD BULUNAMADI")</f>
        <v>Inwards remittance towards interest on loans extended to non residents (st/mt/lt loans)</v>
      </c>
      <c r="F101" s="5" t="s">
        <v>32</v>
      </c>
      <c r="G101" s="6" t="s">
        <v>249</v>
      </c>
      <c r="H101" s="6" t="s">
        <v>202</v>
      </c>
    </row>
    <row r="102" customFormat="false" ht="23.85" hidden="false" customHeight="false" outlineLevel="0" collapsed="false">
      <c r="A102" s="4" t="str">
        <f aca="false">B102&amp;"-"&amp;D102</f>
        <v>6053-A6C11</v>
      </c>
      <c r="B102" s="5" t="n">
        <v>6053</v>
      </c>
      <c r="C102" s="6" t="s">
        <v>250</v>
      </c>
      <c r="D102" s="7" t="s">
        <v>245</v>
      </c>
      <c r="E102" s="6" t="str">
        <f aca="false">IFERROR(INDEX('QAR Kodları'!$B:$B,MATCH(D102,'QAR Kodları'!$A:$A,0)),"KOD BULUNAMADI")</f>
        <v>Repayment of loans extended to non-residents</v>
      </c>
      <c r="F102" s="5" t="s">
        <v>32</v>
      </c>
      <c r="G102" s="6" t="s">
        <v>246</v>
      </c>
      <c r="H102" s="6" t="s">
        <v>247</v>
      </c>
    </row>
    <row r="103" customFormat="false" ht="23.85" hidden="false" customHeight="false" outlineLevel="0" collapsed="false">
      <c r="A103" s="4" t="str">
        <f aca="false">B103&amp;"-"&amp;D103</f>
        <v>6054-A3A03</v>
      </c>
      <c r="B103" s="5" t="n">
        <v>6054</v>
      </c>
      <c r="C103" s="6" t="s">
        <v>251</v>
      </c>
      <c r="D103" s="7" t="s">
        <v>200</v>
      </c>
      <c r="E103" s="6" t="str">
        <f aca="false">IFERROR(INDEX('QAR Kodları'!$B:$B,MATCH(D103,'QAR Kodları'!$A:$A,0)),"KOD BULUNAMADI")</f>
        <v>Inwards remittance towards interest on loans extended to non residents (st/mt/lt loans)</v>
      </c>
      <c r="F103" s="5" t="s">
        <v>32</v>
      </c>
      <c r="G103" s="6" t="s">
        <v>249</v>
      </c>
      <c r="H103" s="6" t="s">
        <v>202</v>
      </c>
    </row>
    <row r="104" customFormat="false" ht="23.85" hidden="false" customHeight="false" outlineLevel="0" collapsed="false">
      <c r="A104" s="4" t="str">
        <f aca="false">B104&amp;"-"&amp;D104</f>
        <v>6055-A6C11</v>
      </c>
      <c r="B104" s="5" t="n">
        <v>6055</v>
      </c>
      <c r="C104" s="6" t="s">
        <v>252</v>
      </c>
      <c r="D104" s="7" t="s">
        <v>245</v>
      </c>
      <c r="E104" s="6" t="str">
        <f aca="false">IFERROR(INDEX('QAR Kodları'!$B:$B,MATCH(D104,'QAR Kodları'!$A:$A,0)),"KOD BULUNAMADI")</f>
        <v>Repayment of loans extended to non-residents</v>
      </c>
      <c r="F104" s="5" t="s">
        <v>32</v>
      </c>
      <c r="G104" s="6" t="s">
        <v>246</v>
      </c>
      <c r="H104" s="6" t="s">
        <v>247</v>
      </c>
    </row>
    <row r="105" customFormat="false" ht="23.85" hidden="false" customHeight="false" outlineLevel="0" collapsed="false">
      <c r="A105" s="4" t="str">
        <f aca="false">B105&amp;"-"&amp;D105</f>
        <v>6056-A3A03</v>
      </c>
      <c r="B105" s="5" t="n">
        <v>6056</v>
      </c>
      <c r="C105" s="6" t="s">
        <v>253</v>
      </c>
      <c r="D105" s="7" t="s">
        <v>200</v>
      </c>
      <c r="E105" s="6" t="str">
        <f aca="false">IFERROR(INDEX('QAR Kodları'!$B:$B,MATCH(D105,'QAR Kodları'!$A:$A,0)),"KOD BULUNAMADI")</f>
        <v>Inwards remittance towards interest on loans extended to non residents (st/mt/lt loans)</v>
      </c>
      <c r="F105" s="5" t="s">
        <v>32</v>
      </c>
      <c r="G105" s="6" t="s">
        <v>249</v>
      </c>
      <c r="H105" s="6" t="s">
        <v>202</v>
      </c>
    </row>
    <row r="106" customFormat="false" ht="23.85" hidden="false" customHeight="false" outlineLevel="0" collapsed="false">
      <c r="A106" s="4" t="str">
        <f aca="false">B106&amp;"-"&amp;D106</f>
        <v>6061-A6C11</v>
      </c>
      <c r="B106" s="5" t="n">
        <v>6061</v>
      </c>
      <c r="C106" s="6" t="s">
        <v>254</v>
      </c>
      <c r="D106" s="7" t="s">
        <v>245</v>
      </c>
      <c r="E106" s="6" t="str">
        <f aca="false">IFERROR(INDEX('QAR Kodları'!$B:$B,MATCH(D106,'QAR Kodları'!$A:$A,0)),"KOD BULUNAMADI")</f>
        <v>Repayment of loans extended to non-residents</v>
      </c>
      <c r="F106" s="5" t="s">
        <v>32</v>
      </c>
      <c r="G106" s="6" t="s">
        <v>246</v>
      </c>
      <c r="H106" s="6" t="s">
        <v>247</v>
      </c>
    </row>
    <row r="107" customFormat="false" ht="23.85" hidden="false" customHeight="false" outlineLevel="0" collapsed="false">
      <c r="A107" s="4" t="str">
        <f aca="false">B107&amp;"-"&amp;D107</f>
        <v>6062-A3A03</v>
      </c>
      <c r="B107" s="5" t="n">
        <v>6062</v>
      </c>
      <c r="C107" s="6" t="s">
        <v>255</v>
      </c>
      <c r="D107" s="7" t="s">
        <v>200</v>
      </c>
      <c r="E107" s="6" t="str">
        <f aca="false">IFERROR(INDEX('QAR Kodları'!$B:$B,MATCH(D107,'QAR Kodları'!$A:$A,0)),"KOD BULUNAMADI")</f>
        <v>Inwards remittance towards interest on loans extended to non residents (st/mt/lt loans)</v>
      </c>
      <c r="F107" s="5" t="s">
        <v>32</v>
      </c>
      <c r="G107" s="6" t="s">
        <v>249</v>
      </c>
      <c r="H107" s="6" t="s">
        <v>202</v>
      </c>
    </row>
    <row r="108" customFormat="false" ht="23.85" hidden="false" customHeight="false" outlineLevel="0" collapsed="false">
      <c r="A108" s="4" t="str">
        <f aca="false">B108&amp;"-"&amp;D108</f>
        <v>6063-A6C11</v>
      </c>
      <c r="B108" s="5" t="n">
        <v>6063</v>
      </c>
      <c r="C108" s="6" t="s">
        <v>256</v>
      </c>
      <c r="D108" s="7" t="s">
        <v>245</v>
      </c>
      <c r="E108" s="6" t="str">
        <f aca="false">IFERROR(INDEX('QAR Kodları'!$B:$B,MATCH(D108,'QAR Kodları'!$A:$A,0)),"KOD BULUNAMADI")</f>
        <v>Repayment of loans extended to non-residents</v>
      </c>
      <c r="F108" s="5" t="s">
        <v>32</v>
      </c>
      <c r="G108" s="6" t="s">
        <v>246</v>
      </c>
      <c r="H108" s="6" t="s">
        <v>247</v>
      </c>
    </row>
    <row r="109" customFormat="false" ht="23.85" hidden="false" customHeight="false" outlineLevel="0" collapsed="false">
      <c r="A109" s="4" t="str">
        <f aca="false">B109&amp;"-"&amp;D109</f>
        <v>6064-A3A03</v>
      </c>
      <c r="B109" s="5" t="n">
        <v>6064</v>
      </c>
      <c r="C109" s="6" t="s">
        <v>257</v>
      </c>
      <c r="D109" s="7" t="s">
        <v>200</v>
      </c>
      <c r="E109" s="6" t="str">
        <f aca="false">IFERROR(INDEX('QAR Kodları'!$B:$B,MATCH(D109,'QAR Kodları'!$A:$A,0)),"KOD BULUNAMADI")</f>
        <v>Inwards remittance towards interest on loans extended to non residents (st/mt/lt loans)</v>
      </c>
      <c r="F109" s="5" t="s">
        <v>32</v>
      </c>
      <c r="G109" s="6" t="s">
        <v>249</v>
      </c>
      <c r="H109" s="6" t="s">
        <v>202</v>
      </c>
    </row>
    <row r="110" customFormat="false" ht="35.05" hidden="false" customHeight="false" outlineLevel="0" collapsed="false">
      <c r="A110" s="4" t="str">
        <f aca="false">B110&amp;"-"&amp;D110</f>
        <v>6071-A6B02</v>
      </c>
      <c r="B110" s="5" t="n">
        <v>6071</v>
      </c>
      <c r="C110" s="6" t="s">
        <v>258</v>
      </c>
      <c r="D110" s="7" t="s">
        <v>259</v>
      </c>
      <c r="E110" s="6" t="str">
        <f aca="false">IFERROR(INDEX('QAR Kodları'!$B:$B,MATCH(D110,'QAR Kodları'!$A:$A,0)),"KOD BULUNAMADI")</f>
        <v>Repatriation of Qatari investment abroad in debt securities</v>
      </c>
      <c r="F110" s="5" t="s">
        <v>32</v>
      </c>
      <c r="G110" s="6" t="s">
        <v>260</v>
      </c>
      <c r="H110" s="6" t="s">
        <v>261</v>
      </c>
    </row>
    <row r="111" customFormat="false" ht="35.05" hidden="false" customHeight="false" outlineLevel="0" collapsed="false">
      <c r="A111" s="4" t="str">
        <f aca="false">B111&amp;"-"&amp;D111</f>
        <v>6072-A3A04</v>
      </c>
      <c r="B111" s="5" t="n">
        <v>6072</v>
      </c>
      <c r="C111" s="6" t="s">
        <v>262</v>
      </c>
      <c r="D111" s="7" t="s">
        <v>263</v>
      </c>
      <c r="E111" s="6" t="str">
        <f aca="false">IFERROR(INDEX('QAR Kodları'!$B:$B,MATCH(D111,'QAR Kodları'!$A:$A,0)),"KOD BULUNAMADI")</f>
        <v>Inwards remittance of interest on debt securities debentures/bonds/frns etc</v>
      </c>
      <c r="F111" s="5" t="s">
        <v>32</v>
      </c>
      <c r="G111" s="6" t="s">
        <v>264</v>
      </c>
      <c r="H111" s="6" t="s">
        <v>265</v>
      </c>
    </row>
    <row r="112" customFormat="false" ht="35.05" hidden="false" customHeight="false" outlineLevel="0" collapsed="false">
      <c r="A112" s="4" t="str">
        <f aca="false">B112&amp;"-"&amp;D112</f>
        <v>6073-A6B02</v>
      </c>
      <c r="B112" s="5" t="n">
        <v>6073</v>
      </c>
      <c r="C112" s="6" t="s">
        <v>266</v>
      </c>
      <c r="D112" s="7" t="s">
        <v>259</v>
      </c>
      <c r="E112" s="6" t="str">
        <f aca="false">IFERROR(INDEX('QAR Kodları'!$B:$B,MATCH(D112,'QAR Kodları'!$A:$A,0)),"KOD BULUNAMADI")</f>
        <v>Repatriation of Qatari investment abroad in debt securities</v>
      </c>
      <c r="F112" s="5" t="s">
        <v>32</v>
      </c>
      <c r="G112" s="6" t="s">
        <v>260</v>
      </c>
      <c r="H112" s="6" t="s">
        <v>261</v>
      </c>
    </row>
    <row r="113" customFormat="false" ht="35.05" hidden="false" customHeight="false" outlineLevel="0" collapsed="false">
      <c r="A113" s="4" t="str">
        <f aca="false">B113&amp;"-"&amp;D113</f>
        <v>6074-A3A04</v>
      </c>
      <c r="B113" s="5" t="n">
        <v>6074</v>
      </c>
      <c r="C113" s="6" t="s">
        <v>267</v>
      </c>
      <c r="D113" s="7" t="s">
        <v>263</v>
      </c>
      <c r="E113" s="6" t="str">
        <f aca="false">IFERROR(INDEX('QAR Kodları'!$B:$B,MATCH(D113,'QAR Kodları'!$A:$A,0)),"KOD BULUNAMADI")</f>
        <v>Inwards remittance of interest on debt securities debentures/bonds/frns etc</v>
      </c>
      <c r="F113" s="5" t="s">
        <v>32</v>
      </c>
      <c r="G113" s="6" t="s">
        <v>264</v>
      </c>
      <c r="H113" s="6" t="s">
        <v>265</v>
      </c>
    </row>
    <row r="114" customFormat="false" ht="23.85" hidden="false" customHeight="false" outlineLevel="0" collapsed="false">
      <c r="A114" s="4" t="str">
        <f aca="false">B114&amp;"-"&amp;D114</f>
        <v>6081-A6C11</v>
      </c>
      <c r="B114" s="5" t="n">
        <v>6081</v>
      </c>
      <c r="C114" s="6" t="s">
        <v>268</v>
      </c>
      <c r="D114" s="7" t="s">
        <v>245</v>
      </c>
      <c r="E114" s="6" t="str">
        <f aca="false">IFERROR(INDEX('QAR Kodları'!$B:$B,MATCH(D114,'QAR Kodları'!$A:$A,0)),"KOD BULUNAMADI")</f>
        <v>Repayment of loans extended to non-residents</v>
      </c>
      <c r="F114" s="5" t="s">
        <v>32</v>
      </c>
      <c r="G114" s="6" t="s">
        <v>246</v>
      </c>
      <c r="H114" s="6" t="s">
        <v>247</v>
      </c>
    </row>
    <row r="115" customFormat="false" ht="23.85" hidden="false" customHeight="false" outlineLevel="0" collapsed="false">
      <c r="A115" s="4" t="str">
        <f aca="false">B115&amp;"-"&amp;D115</f>
        <v>6082-A3A03</v>
      </c>
      <c r="B115" s="5" t="n">
        <v>6082</v>
      </c>
      <c r="C115" s="6" t="s">
        <v>269</v>
      </c>
      <c r="D115" s="7" t="s">
        <v>200</v>
      </c>
      <c r="E115" s="6" t="str">
        <f aca="false">IFERROR(INDEX('QAR Kodları'!$B:$B,MATCH(D115,'QAR Kodları'!$A:$A,0)),"KOD BULUNAMADI")</f>
        <v>Inwards remittance towards interest on loans extended to non residents (st/mt/lt loans)</v>
      </c>
      <c r="F115" s="5" t="s">
        <v>32</v>
      </c>
      <c r="G115" s="6" t="s">
        <v>249</v>
      </c>
      <c r="H115" s="6" t="s">
        <v>202</v>
      </c>
    </row>
    <row r="116" customFormat="false" ht="23.85" hidden="false" customHeight="false" outlineLevel="0" collapsed="false">
      <c r="A116" s="4" t="str">
        <f aca="false">B116&amp;"-"&amp;D116</f>
        <v>6083-A6C11</v>
      </c>
      <c r="B116" s="5" t="n">
        <v>6083</v>
      </c>
      <c r="C116" s="6" t="s">
        <v>270</v>
      </c>
      <c r="D116" s="7" t="s">
        <v>245</v>
      </c>
      <c r="E116" s="6" t="str">
        <f aca="false">IFERROR(INDEX('QAR Kodları'!$B:$B,MATCH(D116,'QAR Kodları'!$A:$A,0)),"KOD BULUNAMADI")</f>
        <v>Repayment of loans extended to non-residents</v>
      </c>
      <c r="F116" s="5" t="s">
        <v>32</v>
      </c>
      <c r="G116" s="6" t="s">
        <v>246</v>
      </c>
      <c r="H116" s="6" t="s">
        <v>247</v>
      </c>
    </row>
    <row r="117" customFormat="false" ht="23.85" hidden="false" customHeight="false" outlineLevel="0" collapsed="false">
      <c r="A117" s="4" t="str">
        <f aca="false">B117&amp;"-"&amp;D117</f>
        <v>6084-A3A03</v>
      </c>
      <c r="B117" s="5" t="n">
        <v>6084</v>
      </c>
      <c r="C117" s="6" t="s">
        <v>271</v>
      </c>
      <c r="D117" s="7" t="s">
        <v>200</v>
      </c>
      <c r="E117" s="6" t="str">
        <f aca="false">IFERROR(INDEX('QAR Kodları'!$B:$B,MATCH(D117,'QAR Kodları'!$A:$A,0)),"KOD BULUNAMADI")</f>
        <v>Inwards remittance towards interest on loans extended to non residents (st/mt/lt loans)</v>
      </c>
      <c r="F117" s="5" t="s">
        <v>32</v>
      </c>
      <c r="G117" s="6" t="s">
        <v>249</v>
      </c>
      <c r="H117" s="6" t="s">
        <v>202</v>
      </c>
    </row>
    <row r="118" customFormat="false" ht="23.85" hidden="false" customHeight="false" outlineLevel="0" collapsed="false">
      <c r="A118" s="4" t="str">
        <f aca="false">B118&amp;"-"&amp;D118</f>
        <v>6151-A6C11</v>
      </c>
      <c r="B118" s="5" t="n">
        <v>6151</v>
      </c>
      <c r="C118" s="6" t="s">
        <v>272</v>
      </c>
      <c r="D118" s="7" t="s">
        <v>245</v>
      </c>
      <c r="E118" s="6" t="str">
        <f aca="false">IFERROR(INDEX('QAR Kodları'!$B:$B,MATCH(D118,'QAR Kodları'!$A:$A,0)),"KOD BULUNAMADI")</f>
        <v>Repayment of loans extended to non-residents</v>
      </c>
      <c r="F118" s="5" t="s">
        <v>32</v>
      </c>
      <c r="G118" s="6" t="s">
        <v>246</v>
      </c>
      <c r="H118" s="6" t="s">
        <v>247</v>
      </c>
    </row>
    <row r="119" customFormat="false" ht="23.85" hidden="false" customHeight="false" outlineLevel="0" collapsed="false">
      <c r="A119" s="4" t="str">
        <f aca="false">B119&amp;"-"&amp;D119</f>
        <v>6152-A3A03</v>
      </c>
      <c r="B119" s="5" t="n">
        <v>6152</v>
      </c>
      <c r="C119" s="6" t="s">
        <v>273</v>
      </c>
      <c r="D119" s="7" t="s">
        <v>200</v>
      </c>
      <c r="E119" s="6" t="str">
        <f aca="false">IFERROR(INDEX('QAR Kodları'!$B:$B,MATCH(D119,'QAR Kodları'!$A:$A,0)),"KOD BULUNAMADI")</f>
        <v>Inwards remittance towards interest on loans extended to non residents (st/mt/lt loans)</v>
      </c>
      <c r="F119" s="5" t="s">
        <v>32</v>
      </c>
      <c r="G119" s="6" t="s">
        <v>249</v>
      </c>
      <c r="H119" s="6" t="s">
        <v>202</v>
      </c>
    </row>
    <row r="120" customFormat="false" ht="23.85" hidden="false" customHeight="false" outlineLevel="0" collapsed="false">
      <c r="A120" s="4" t="str">
        <f aca="false">B120&amp;"-"&amp;D120</f>
        <v>6153-A6C11</v>
      </c>
      <c r="B120" s="5" t="n">
        <v>6153</v>
      </c>
      <c r="C120" s="6" t="s">
        <v>274</v>
      </c>
      <c r="D120" s="7" t="s">
        <v>245</v>
      </c>
      <c r="E120" s="6" t="str">
        <f aca="false">IFERROR(INDEX('QAR Kodları'!$B:$B,MATCH(D120,'QAR Kodları'!$A:$A,0)),"KOD BULUNAMADI")</f>
        <v>Repayment of loans extended to non-residents</v>
      </c>
      <c r="F120" s="5" t="s">
        <v>32</v>
      </c>
      <c r="G120" s="6" t="s">
        <v>246</v>
      </c>
      <c r="H120" s="6" t="s">
        <v>247</v>
      </c>
    </row>
    <row r="121" customFormat="false" ht="23.85" hidden="false" customHeight="false" outlineLevel="0" collapsed="false">
      <c r="A121" s="4" t="str">
        <f aca="false">B121&amp;"-"&amp;D121</f>
        <v>6154-A3A03</v>
      </c>
      <c r="B121" s="5" t="n">
        <v>6154</v>
      </c>
      <c r="C121" s="6" t="s">
        <v>275</v>
      </c>
      <c r="D121" s="7" t="s">
        <v>200</v>
      </c>
      <c r="E121" s="6" t="str">
        <f aca="false">IFERROR(INDEX('QAR Kodları'!$B:$B,MATCH(D121,'QAR Kodları'!$A:$A,0)),"KOD BULUNAMADI")</f>
        <v>Inwards remittance towards interest on loans extended to non residents (st/mt/lt loans)</v>
      </c>
      <c r="F121" s="5" t="s">
        <v>32</v>
      </c>
      <c r="G121" s="6" t="s">
        <v>249</v>
      </c>
      <c r="H121" s="6" t="s">
        <v>202</v>
      </c>
    </row>
    <row r="122" customFormat="false" ht="35.05" hidden="false" customHeight="false" outlineLevel="0" collapsed="false">
      <c r="A122" s="4" t="str">
        <f aca="false">B122&amp;"-"&amp;D122</f>
        <v>6155-A6C11</v>
      </c>
      <c r="B122" s="5" t="n">
        <v>6155</v>
      </c>
      <c r="C122" s="6" t="s">
        <v>276</v>
      </c>
      <c r="D122" s="7" t="s">
        <v>245</v>
      </c>
      <c r="E122" s="6" t="str">
        <f aca="false">IFERROR(INDEX('QAR Kodları'!$B:$B,MATCH(D122,'QAR Kodları'!$A:$A,0)),"KOD BULUNAMADI")</f>
        <v>Repayment of loans extended to non-residents</v>
      </c>
      <c r="F122" s="5" t="s">
        <v>32</v>
      </c>
      <c r="G122" s="6" t="s">
        <v>246</v>
      </c>
      <c r="H122" s="6" t="s">
        <v>247</v>
      </c>
    </row>
    <row r="123" customFormat="false" ht="23.85" hidden="false" customHeight="false" outlineLevel="0" collapsed="false">
      <c r="A123" s="4" t="str">
        <f aca="false">B123&amp;"-"&amp;D123</f>
        <v>6156-A3A03</v>
      </c>
      <c r="B123" s="5" t="n">
        <v>6156</v>
      </c>
      <c r="C123" s="6" t="s">
        <v>277</v>
      </c>
      <c r="D123" s="7" t="s">
        <v>200</v>
      </c>
      <c r="E123" s="6" t="str">
        <f aca="false">IFERROR(INDEX('QAR Kodları'!$B:$B,MATCH(D123,'QAR Kodları'!$A:$A,0)),"KOD BULUNAMADI")</f>
        <v>Inwards remittance towards interest on loans extended to non residents (st/mt/lt loans)</v>
      </c>
      <c r="F123" s="5" t="s">
        <v>32</v>
      </c>
      <c r="G123" s="6" t="s">
        <v>249</v>
      </c>
      <c r="H123" s="6" t="s">
        <v>202</v>
      </c>
    </row>
    <row r="124" customFormat="false" ht="23.85" hidden="false" customHeight="false" outlineLevel="0" collapsed="false">
      <c r="A124" s="4" t="str">
        <f aca="false">B124&amp;"-"&amp;D124</f>
        <v>6161-A6C11</v>
      </c>
      <c r="B124" s="5" t="n">
        <v>6161</v>
      </c>
      <c r="C124" s="6" t="s">
        <v>278</v>
      </c>
      <c r="D124" s="7" t="s">
        <v>245</v>
      </c>
      <c r="E124" s="6" t="str">
        <f aca="false">IFERROR(INDEX('QAR Kodları'!$B:$B,MATCH(D124,'QAR Kodları'!$A:$A,0)),"KOD BULUNAMADI")</f>
        <v>Repayment of loans extended to non-residents</v>
      </c>
      <c r="F124" s="5" t="s">
        <v>32</v>
      </c>
      <c r="G124" s="6" t="s">
        <v>246</v>
      </c>
      <c r="H124" s="6" t="s">
        <v>247</v>
      </c>
    </row>
    <row r="125" customFormat="false" ht="23.85" hidden="false" customHeight="false" outlineLevel="0" collapsed="false">
      <c r="A125" s="4" t="str">
        <f aca="false">B125&amp;"-"&amp;D125</f>
        <v>6162-A3A03</v>
      </c>
      <c r="B125" s="5" t="n">
        <v>6162</v>
      </c>
      <c r="C125" s="6" t="s">
        <v>279</v>
      </c>
      <c r="D125" s="7" t="s">
        <v>200</v>
      </c>
      <c r="E125" s="6" t="str">
        <f aca="false">IFERROR(INDEX('QAR Kodları'!$B:$B,MATCH(D125,'QAR Kodları'!$A:$A,0)),"KOD BULUNAMADI")</f>
        <v>Inwards remittance towards interest on loans extended to non residents (st/mt/lt loans)</v>
      </c>
      <c r="F125" s="5" t="s">
        <v>32</v>
      </c>
      <c r="G125" s="6" t="s">
        <v>249</v>
      </c>
      <c r="H125" s="6" t="s">
        <v>202</v>
      </c>
    </row>
    <row r="126" customFormat="false" ht="23.85" hidden="false" customHeight="false" outlineLevel="0" collapsed="false">
      <c r="A126" s="4" t="str">
        <f aca="false">B126&amp;"-"&amp;D126</f>
        <v>6163-A6C11</v>
      </c>
      <c r="B126" s="5" t="n">
        <v>6163</v>
      </c>
      <c r="C126" s="6" t="s">
        <v>280</v>
      </c>
      <c r="D126" s="7" t="s">
        <v>245</v>
      </c>
      <c r="E126" s="6" t="str">
        <f aca="false">IFERROR(INDEX('QAR Kodları'!$B:$B,MATCH(D126,'QAR Kodları'!$A:$A,0)),"KOD BULUNAMADI")</f>
        <v>Repayment of loans extended to non-residents</v>
      </c>
      <c r="F126" s="5" t="s">
        <v>32</v>
      </c>
      <c r="G126" s="6" t="s">
        <v>246</v>
      </c>
      <c r="H126" s="6" t="s">
        <v>247</v>
      </c>
    </row>
    <row r="127" customFormat="false" ht="23.85" hidden="false" customHeight="false" outlineLevel="0" collapsed="false">
      <c r="A127" s="4" t="str">
        <f aca="false">B127&amp;"-"&amp;D127</f>
        <v>6164-A3A03</v>
      </c>
      <c r="B127" s="5" t="n">
        <v>6164</v>
      </c>
      <c r="C127" s="6" t="s">
        <v>281</v>
      </c>
      <c r="D127" s="7" t="s">
        <v>200</v>
      </c>
      <c r="E127" s="6" t="str">
        <f aca="false">IFERROR(INDEX('QAR Kodları'!$B:$B,MATCH(D127,'QAR Kodları'!$A:$A,0)),"KOD BULUNAMADI")</f>
        <v>Inwards remittance towards interest on loans extended to non residents (st/mt/lt loans)</v>
      </c>
      <c r="F127" s="5" t="s">
        <v>32</v>
      </c>
      <c r="G127" s="6" t="s">
        <v>249</v>
      </c>
      <c r="H127" s="6" t="s">
        <v>202</v>
      </c>
    </row>
    <row r="128" customFormat="false" ht="23.85" hidden="false" customHeight="false" outlineLevel="0" collapsed="false">
      <c r="A128" s="4" t="str">
        <f aca="false">B128&amp;"-"&amp;D128</f>
        <v>6251-A6C11</v>
      </c>
      <c r="B128" s="5" t="n">
        <v>6251</v>
      </c>
      <c r="C128" s="6" t="s">
        <v>282</v>
      </c>
      <c r="D128" s="7" t="s">
        <v>245</v>
      </c>
      <c r="E128" s="6" t="str">
        <f aca="false">IFERROR(INDEX('QAR Kodları'!$B:$B,MATCH(D128,'QAR Kodları'!$A:$A,0)),"KOD BULUNAMADI")</f>
        <v>Repayment of loans extended to non-residents</v>
      </c>
      <c r="F128" s="5" t="s">
        <v>32</v>
      </c>
      <c r="G128" s="6" t="s">
        <v>246</v>
      </c>
      <c r="H128" s="6" t="s">
        <v>247</v>
      </c>
    </row>
    <row r="129" customFormat="false" ht="23.85" hidden="false" customHeight="false" outlineLevel="0" collapsed="false">
      <c r="A129" s="4" t="str">
        <f aca="false">B129&amp;"-"&amp;D129</f>
        <v>6252-A3A03</v>
      </c>
      <c r="B129" s="5" t="n">
        <v>6252</v>
      </c>
      <c r="C129" s="6" t="s">
        <v>283</v>
      </c>
      <c r="D129" s="7" t="s">
        <v>200</v>
      </c>
      <c r="E129" s="6" t="str">
        <f aca="false">IFERROR(INDEX('QAR Kodları'!$B:$B,MATCH(D129,'QAR Kodları'!$A:$A,0)),"KOD BULUNAMADI")</f>
        <v>Inwards remittance towards interest on loans extended to non residents (st/mt/lt loans)</v>
      </c>
      <c r="F129" s="5" t="s">
        <v>32</v>
      </c>
      <c r="G129" s="6" t="s">
        <v>249</v>
      </c>
      <c r="H129" s="6" t="s">
        <v>202</v>
      </c>
    </row>
    <row r="130" customFormat="false" ht="23.85" hidden="false" customHeight="false" outlineLevel="0" collapsed="false">
      <c r="A130" s="4" t="str">
        <f aca="false">B130&amp;"-"&amp;D130</f>
        <v>6253-A6C11</v>
      </c>
      <c r="B130" s="5" t="n">
        <v>6253</v>
      </c>
      <c r="C130" s="6" t="s">
        <v>284</v>
      </c>
      <c r="D130" s="7" t="s">
        <v>245</v>
      </c>
      <c r="E130" s="6" t="str">
        <f aca="false">IFERROR(INDEX('QAR Kodları'!$B:$B,MATCH(D130,'QAR Kodları'!$A:$A,0)),"KOD BULUNAMADI")</f>
        <v>Repayment of loans extended to non-residents</v>
      </c>
      <c r="F130" s="5" t="s">
        <v>32</v>
      </c>
      <c r="G130" s="6" t="s">
        <v>246</v>
      </c>
      <c r="H130" s="6" t="s">
        <v>247</v>
      </c>
    </row>
    <row r="131" customFormat="false" ht="23.85" hidden="false" customHeight="false" outlineLevel="0" collapsed="false">
      <c r="A131" s="4" t="str">
        <f aca="false">B131&amp;"-"&amp;D131</f>
        <v>6254-A3A03</v>
      </c>
      <c r="B131" s="5" t="n">
        <v>6254</v>
      </c>
      <c r="C131" s="6" t="s">
        <v>285</v>
      </c>
      <c r="D131" s="7" t="s">
        <v>200</v>
      </c>
      <c r="E131" s="6" t="str">
        <f aca="false">IFERROR(INDEX('QAR Kodları'!$B:$B,MATCH(D131,'QAR Kodları'!$A:$A,0)),"KOD BULUNAMADI")</f>
        <v>Inwards remittance towards interest on loans extended to non residents (st/mt/lt loans)</v>
      </c>
      <c r="F131" s="5" t="s">
        <v>32</v>
      </c>
      <c r="G131" s="6" t="s">
        <v>249</v>
      </c>
      <c r="H131" s="6" t="s">
        <v>202</v>
      </c>
    </row>
    <row r="132" customFormat="false" ht="23.85" hidden="false" customHeight="false" outlineLevel="0" collapsed="false">
      <c r="A132" s="4" t="str">
        <f aca="false">B132&amp;"-"&amp;D132</f>
        <v>6255-A6C11</v>
      </c>
      <c r="B132" s="5" t="n">
        <v>6255</v>
      </c>
      <c r="C132" s="6" t="s">
        <v>286</v>
      </c>
      <c r="D132" s="7" t="s">
        <v>245</v>
      </c>
      <c r="E132" s="6" t="str">
        <f aca="false">IFERROR(INDEX('QAR Kodları'!$B:$B,MATCH(D132,'QAR Kodları'!$A:$A,0)),"KOD BULUNAMADI")</f>
        <v>Repayment of loans extended to non-residents</v>
      </c>
      <c r="F132" s="5" t="s">
        <v>32</v>
      </c>
      <c r="G132" s="6" t="s">
        <v>246</v>
      </c>
      <c r="H132" s="6" t="s">
        <v>247</v>
      </c>
    </row>
    <row r="133" customFormat="false" ht="23.85" hidden="false" customHeight="false" outlineLevel="0" collapsed="false">
      <c r="A133" s="4" t="str">
        <f aca="false">B133&amp;"-"&amp;D133</f>
        <v>6256-A3A03</v>
      </c>
      <c r="B133" s="5" t="n">
        <v>6256</v>
      </c>
      <c r="C133" s="6" t="s">
        <v>287</v>
      </c>
      <c r="D133" s="7" t="s">
        <v>200</v>
      </c>
      <c r="E133" s="6" t="str">
        <f aca="false">IFERROR(INDEX('QAR Kodları'!$B:$B,MATCH(D133,'QAR Kodları'!$A:$A,0)),"KOD BULUNAMADI")</f>
        <v>Inwards remittance towards interest on loans extended to non residents (st/mt/lt loans)</v>
      </c>
      <c r="F133" s="5" t="s">
        <v>32</v>
      </c>
      <c r="G133" s="6" t="s">
        <v>249</v>
      </c>
      <c r="H133" s="6" t="s">
        <v>202</v>
      </c>
    </row>
    <row r="134" customFormat="false" ht="23.85" hidden="false" customHeight="false" outlineLevel="0" collapsed="false">
      <c r="A134" s="4" t="str">
        <f aca="false">B134&amp;"-"&amp;D134</f>
        <v>6261-A6C11</v>
      </c>
      <c r="B134" s="5" t="n">
        <v>6261</v>
      </c>
      <c r="C134" s="6" t="s">
        <v>288</v>
      </c>
      <c r="D134" s="7" t="s">
        <v>245</v>
      </c>
      <c r="E134" s="6" t="str">
        <f aca="false">IFERROR(INDEX('QAR Kodları'!$B:$B,MATCH(D134,'QAR Kodları'!$A:$A,0)),"KOD BULUNAMADI")</f>
        <v>Repayment of loans extended to non-residents</v>
      </c>
      <c r="F134" s="5" t="s">
        <v>32</v>
      </c>
      <c r="G134" s="6" t="s">
        <v>246</v>
      </c>
      <c r="H134" s="6" t="s">
        <v>247</v>
      </c>
    </row>
    <row r="135" customFormat="false" ht="23.85" hidden="false" customHeight="false" outlineLevel="0" collapsed="false">
      <c r="A135" s="4" t="str">
        <f aca="false">B135&amp;"-"&amp;D135</f>
        <v>6262-A3A03</v>
      </c>
      <c r="B135" s="5" t="n">
        <v>6262</v>
      </c>
      <c r="C135" s="6" t="s">
        <v>289</v>
      </c>
      <c r="D135" s="7" t="s">
        <v>200</v>
      </c>
      <c r="E135" s="6" t="str">
        <f aca="false">IFERROR(INDEX('QAR Kodları'!$B:$B,MATCH(D135,'QAR Kodları'!$A:$A,0)),"KOD BULUNAMADI")</f>
        <v>Inwards remittance towards interest on loans extended to non residents (st/mt/lt loans)</v>
      </c>
      <c r="F135" s="5" t="s">
        <v>32</v>
      </c>
      <c r="G135" s="6" t="s">
        <v>249</v>
      </c>
      <c r="H135" s="6" t="s">
        <v>202</v>
      </c>
    </row>
    <row r="136" customFormat="false" ht="23.85" hidden="false" customHeight="false" outlineLevel="0" collapsed="false">
      <c r="A136" s="4" t="str">
        <f aca="false">B136&amp;"-"&amp;D136</f>
        <v>6263-A6C11</v>
      </c>
      <c r="B136" s="5" t="n">
        <v>6263</v>
      </c>
      <c r="C136" s="6" t="s">
        <v>290</v>
      </c>
      <c r="D136" s="7" t="s">
        <v>245</v>
      </c>
      <c r="E136" s="6" t="str">
        <f aca="false">IFERROR(INDEX('QAR Kodları'!$B:$B,MATCH(D136,'QAR Kodları'!$A:$A,0)),"KOD BULUNAMADI")</f>
        <v>Repayment of loans extended to non-residents</v>
      </c>
      <c r="F136" s="5" t="s">
        <v>32</v>
      </c>
      <c r="G136" s="6" t="s">
        <v>246</v>
      </c>
      <c r="H136" s="6" t="s">
        <v>247</v>
      </c>
    </row>
    <row r="137" customFormat="false" ht="23.85" hidden="false" customHeight="false" outlineLevel="0" collapsed="false">
      <c r="A137" s="4" t="str">
        <f aca="false">B137&amp;"-"&amp;D137</f>
        <v>6264-A3A03</v>
      </c>
      <c r="B137" s="5" t="n">
        <v>6264</v>
      </c>
      <c r="C137" s="6" t="s">
        <v>291</v>
      </c>
      <c r="D137" s="7" t="s">
        <v>200</v>
      </c>
      <c r="E137" s="6" t="str">
        <f aca="false">IFERROR(INDEX('QAR Kodları'!$B:$B,MATCH(D137,'QAR Kodları'!$A:$A,0)),"KOD BULUNAMADI")</f>
        <v>Inwards remittance towards interest on loans extended to non residents (st/mt/lt loans)</v>
      </c>
      <c r="F137" s="5" t="s">
        <v>32</v>
      </c>
      <c r="G137" s="6" t="s">
        <v>249</v>
      </c>
      <c r="H137" s="6" t="s">
        <v>202</v>
      </c>
    </row>
    <row r="138" customFormat="false" ht="23.85" hidden="false" customHeight="false" outlineLevel="0" collapsed="false">
      <c r="A138" s="4" t="str">
        <f aca="false">B138&amp;"-"&amp;D138</f>
        <v>6351-A6C11</v>
      </c>
      <c r="B138" s="5" t="n">
        <v>6351</v>
      </c>
      <c r="C138" s="6" t="s">
        <v>292</v>
      </c>
      <c r="D138" s="7" t="s">
        <v>245</v>
      </c>
      <c r="E138" s="6" t="str">
        <f aca="false">IFERROR(INDEX('QAR Kodları'!$B:$B,MATCH(D138,'QAR Kodları'!$A:$A,0)),"KOD BULUNAMADI")</f>
        <v>Repayment of loans extended to non-residents</v>
      </c>
      <c r="F138" s="5" t="s">
        <v>32</v>
      </c>
      <c r="G138" s="6" t="s">
        <v>246</v>
      </c>
      <c r="H138" s="6" t="s">
        <v>247</v>
      </c>
    </row>
    <row r="139" customFormat="false" ht="23.85" hidden="false" customHeight="false" outlineLevel="0" collapsed="false">
      <c r="A139" s="4" t="str">
        <f aca="false">B139&amp;"-"&amp;D139</f>
        <v>6352-A3A03</v>
      </c>
      <c r="B139" s="5" t="n">
        <v>6352</v>
      </c>
      <c r="C139" s="6" t="s">
        <v>293</v>
      </c>
      <c r="D139" s="7" t="s">
        <v>200</v>
      </c>
      <c r="E139" s="6" t="str">
        <f aca="false">IFERROR(INDEX('QAR Kodları'!$B:$B,MATCH(D139,'QAR Kodları'!$A:$A,0)),"KOD BULUNAMADI")</f>
        <v>Inwards remittance towards interest on loans extended to non residents (st/mt/lt loans)</v>
      </c>
      <c r="F139" s="5" t="s">
        <v>32</v>
      </c>
      <c r="G139" s="6" t="s">
        <v>249</v>
      </c>
      <c r="H139" s="6" t="s">
        <v>202</v>
      </c>
    </row>
    <row r="140" customFormat="false" ht="23.85" hidden="false" customHeight="false" outlineLevel="0" collapsed="false">
      <c r="A140" s="4" t="str">
        <f aca="false">B140&amp;"-"&amp;D140</f>
        <v>6353-A6C11</v>
      </c>
      <c r="B140" s="5" t="n">
        <v>6353</v>
      </c>
      <c r="C140" s="6" t="s">
        <v>294</v>
      </c>
      <c r="D140" s="7" t="s">
        <v>245</v>
      </c>
      <c r="E140" s="6" t="str">
        <f aca="false">IFERROR(INDEX('QAR Kodları'!$B:$B,MATCH(D140,'QAR Kodları'!$A:$A,0)),"KOD BULUNAMADI")</f>
        <v>Repayment of loans extended to non-residents</v>
      </c>
      <c r="F140" s="5" t="s">
        <v>32</v>
      </c>
      <c r="G140" s="6" t="s">
        <v>246</v>
      </c>
      <c r="H140" s="6" t="s">
        <v>247</v>
      </c>
    </row>
    <row r="141" customFormat="false" ht="23.85" hidden="false" customHeight="false" outlineLevel="0" collapsed="false">
      <c r="A141" s="4" t="str">
        <f aca="false">B141&amp;"-"&amp;D141</f>
        <v>6354-A3A03</v>
      </c>
      <c r="B141" s="5" t="n">
        <v>6354</v>
      </c>
      <c r="C141" s="6" t="s">
        <v>295</v>
      </c>
      <c r="D141" s="7" t="s">
        <v>200</v>
      </c>
      <c r="E141" s="6" t="str">
        <f aca="false">IFERROR(INDEX('QAR Kodları'!$B:$B,MATCH(D141,'QAR Kodları'!$A:$A,0)),"KOD BULUNAMADI")</f>
        <v>Inwards remittance towards interest on loans extended to non residents (st/mt/lt loans)</v>
      </c>
      <c r="F141" s="5" t="s">
        <v>32</v>
      </c>
      <c r="G141" s="6" t="s">
        <v>249</v>
      </c>
      <c r="H141" s="6" t="s">
        <v>202</v>
      </c>
    </row>
    <row r="142" customFormat="false" ht="35.05" hidden="false" customHeight="false" outlineLevel="0" collapsed="false">
      <c r="A142" s="4" t="str">
        <f aca="false">B142&amp;"-"&amp;D142</f>
        <v>6355-A6C11</v>
      </c>
      <c r="B142" s="5" t="n">
        <v>6355</v>
      </c>
      <c r="C142" s="6" t="s">
        <v>296</v>
      </c>
      <c r="D142" s="7" t="s">
        <v>245</v>
      </c>
      <c r="E142" s="6" t="str">
        <f aca="false">IFERROR(INDEX('QAR Kodları'!$B:$B,MATCH(D142,'QAR Kodları'!$A:$A,0)),"KOD BULUNAMADI")</f>
        <v>Repayment of loans extended to non-residents</v>
      </c>
      <c r="F142" s="5" t="s">
        <v>32</v>
      </c>
      <c r="G142" s="6" t="s">
        <v>246</v>
      </c>
      <c r="H142" s="6" t="s">
        <v>247</v>
      </c>
    </row>
    <row r="143" customFormat="false" ht="23.85" hidden="false" customHeight="false" outlineLevel="0" collapsed="false">
      <c r="A143" s="4" t="str">
        <f aca="false">B143&amp;"-"&amp;D143</f>
        <v>6356-A3A03</v>
      </c>
      <c r="B143" s="5" t="n">
        <v>6356</v>
      </c>
      <c r="C143" s="6" t="s">
        <v>297</v>
      </c>
      <c r="D143" s="7" t="s">
        <v>200</v>
      </c>
      <c r="E143" s="6" t="str">
        <f aca="false">IFERROR(INDEX('QAR Kodları'!$B:$B,MATCH(D143,'QAR Kodları'!$A:$A,0)),"KOD BULUNAMADI")</f>
        <v>Inwards remittance towards interest on loans extended to non residents (st/mt/lt loans)</v>
      </c>
      <c r="F143" s="5" t="s">
        <v>32</v>
      </c>
      <c r="G143" s="6" t="s">
        <v>249</v>
      </c>
      <c r="H143" s="6" t="s">
        <v>202</v>
      </c>
    </row>
    <row r="144" customFormat="false" ht="23.85" hidden="false" customHeight="false" outlineLevel="0" collapsed="false">
      <c r="A144" s="4" t="str">
        <f aca="false">B144&amp;"-"&amp;D144</f>
        <v>6361-A6C11</v>
      </c>
      <c r="B144" s="5" t="n">
        <v>6361</v>
      </c>
      <c r="C144" s="6" t="s">
        <v>298</v>
      </c>
      <c r="D144" s="7" t="s">
        <v>245</v>
      </c>
      <c r="E144" s="6" t="str">
        <f aca="false">IFERROR(INDEX('QAR Kodları'!$B:$B,MATCH(D144,'QAR Kodları'!$A:$A,0)),"KOD BULUNAMADI")</f>
        <v>Repayment of loans extended to non-residents</v>
      </c>
      <c r="F144" s="5" t="s">
        <v>32</v>
      </c>
      <c r="G144" s="6" t="s">
        <v>246</v>
      </c>
      <c r="H144" s="6" t="s">
        <v>247</v>
      </c>
    </row>
    <row r="145" customFormat="false" ht="23.85" hidden="false" customHeight="false" outlineLevel="0" collapsed="false">
      <c r="A145" s="4" t="str">
        <f aca="false">B145&amp;"-"&amp;D145</f>
        <v>6362-A3A03</v>
      </c>
      <c r="B145" s="5" t="n">
        <v>6362</v>
      </c>
      <c r="C145" s="6" t="s">
        <v>299</v>
      </c>
      <c r="D145" s="7" t="s">
        <v>200</v>
      </c>
      <c r="E145" s="6" t="str">
        <f aca="false">IFERROR(INDEX('QAR Kodları'!$B:$B,MATCH(D145,'QAR Kodları'!$A:$A,0)),"KOD BULUNAMADI")</f>
        <v>Inwards remittance towards interest on loans extended to non residents (st/mt/lt loans)</v>
      </c>
      <c r="F145" s="5" t="s">
        <v>32</v>
      </c>
      <c r="G145" s="6" t="s">
        <v>249</v>
      </c>
      <c r="H145" s="6" t="s">
        <v>202</v>
      </c>
    </row>
    <row r="146" customFormat="false" ht="23.85" hidden="false" customHeight="false" outlineLevel="0" collapsed="false">
      <c r="A146" s="4" t="str">
        <f aca="false">B146&amp;"-"&amp;D146</f>
        <v>6363-A6C11</v>
      </c>
      <c r="B146" s="5" t="n">
        <v>6363</v>
      </c>
      <c r="C146" s="6" t="s">
        <v>300</v>
      </c>
      <c r="D146" s="7" t="s">
        <v>245</v>
      </c>
      <c r="E146" s="6" t="str">
        <f aca="false">IFERROR(INDEX('QAR Kodları'!$B:$B,MATCH(D146,'QAR Kodları'!$A:$A,0)),"KOD BULUNAMADI")</f>
        <v>Repayment of loans extended to non-residents</v>
      </c>
      <c r="F146" s="5" t="s">
        <v>32</v>
      </c>
      <c r="G146" s="6" t="s">
        <v>246</v>
      </c>
      <c r="H146" s="6" t="s">
        <v>247</v>
      </c>
    </row>
    <row r="147" customFormat="false" ht="23.85" hidden="false" customHeight="false" outlineLevel="0" collapsed="false">
      <c r="A147" s="4" t="str">
        <f aca="false">B147&amp;"-"&amp;D147</f>
        <v>6364-A3A03</v>
      </c>
      <c r="B147" s="5" t="n">
        <v>6364</v>
      </c>
      <c r="C147" s="6" t="s">
        <v>301</v>
      </c>
      <c r="D147" s="7" t="s">
        <v>200</v>
      </c>
      <c r="E147" s="6" t="str">
        <f aca="false">IFERROR(INDEX('QAR Kodları'!$B:$B,MATCH(D147,'QAR Kodları'!$A:$A,0)),"KOD BULUNAMADI")</f>
        <v>Inwards remittance towards interest on loans extended to non residents (st/mt/lt loans)</v>
      </c>
      <c r="F147" s="5" t="s">
        <v>32</v>
      </c>
      <c r="G147" s="6" t="s">
        <v>249</v>
      </c>
      <c r="H147" s="6" t="s">
        <v>202</v>
      </c>
    </row>
    <row r="148" customFormat="false" ht="35.05" hidden="false" customHeight="false" outlineLevel="0" collapsed="false">
      <c r="A148" s="4" t="str">
        <f aca="false">B148&amp;"-"&amp;D148</f>
        <v>6371-A6B02</v>
      </c>
      <c r="B148" s="5" t="n">
        <v>6371</v>
      </c>
      <c r="C148" s="6" t="s">
        <v>302</v>
      </c>
      <c r="D148" s="7" t="s">
        <v>259</v>
      </c>
      <c r="E148" s="6" t="str">
        <f aca="false">IFERROR(INDEX('QAR Kodları'!$B:$B,MATCH(D148,'QAR Kodları'!$A:$A,0)),"KOD BULUNAMADI")</f>
        <v>Repatriation of Qatari investment abroad in debt securities</v>
      </c>
      <c r="F148" s="5" t="s">
        <v>32</v>
      </c>
      <c r="G148" s="6" t="s">
        <v>260</v>
      </c>
      <c r="H148" s="6" t="s">
        <v>261</v>
      </c>
    </row>
    <row r="149" customFormat="false" ht="35.05" hidden="false" customHeight="false" outlineLevel="0" collapsed="false">
      <c r="A149" s="4" t="str">
        <f aca="false">B149&amp;"-"&amp;D149</f>
        <v>6372-A3A04</v>
      </c>
      <c r="B149" s="5" t="n">
        <v>6372</v>
      </c>
      <c r="C149" s="6" t="s">
        <v>303</v>
      </c>
      <c r="D149" s="7" t="s">
        <v>263</v>
      </c>
      <c r="E149" s="6" t="str">
        <f aca="false">IFERROR(INDEX('QAR Kodları'!$B:$B,MATCH(D149,'QAR Kodları'!$A:$A,0)),"KOD BULUNAMADI")</f>
        <v>Inwards remittance of interest on debt securities debentures/bonds/frns etc</v>
      </c>
      <c r="F149" s="5" t="s">
        <v>32</v>
      </c>
      <c r="G149" s="6" t="s">
        <v>264</v>
      </c>
      <c r="H149" s="6" t="s">
        <v>265</v>
      </c>
    </row>
    <row r="150" customFormat="false" ht="35.05" hidden="false" customHeight="false" outlineLevel="0" collapsed="false">
      <c r="A150" s="4" t="str">
        <f aca="false">B150&amp;"-"&amp;D150</f>
        <v>6373-A6B02</v>
      </c>
      <c r="B150" s="5" t="n">
        <v>6373</v>
      </c>
      <c r="C150" s="6" t="s">
        <v>304</v>
      </c>
      <c r="D150" s="7" t="s">
        <v>259</v>
      </c>
      <c r="E150" s="6" t="str">
        <f aca="false">IFERROR(INDEX('QAR Kodları'!$B:$B,MATCH(D150,'QAR Kodları'!$A:$A,0)),"KOD BULUNAMADI")</f>
        <v>Repatriation of Qatari investment abroad in debt securities</v>
      </c>
      <c r="F150" s="5" t="s">
        <v>32</v>
      </c>
      <c r="G150" s="6" t="s">
        <v>260</v>
      </c>
      <c r="H150" s="6" t="s">
        <v>261</v>
      </c>
    </row>
    <row r="151" customFormat="false" ht="35.05" hidden="false" customHeight="false" outlineLevel="0" collapsed="false">
      <c r="A151" s="4" t="str">
        <f aca="false">B151&amp;"-"&amp;D151</f>
        <v>6374-A3A04</v>
      </c>
      <c r="B151" s="5" t="n">
        <v>6374</v>
      </c>
      <c r="C151" s="6" t="s">
        <v>305</v>
      </c>
      <c r="D151" s="7" t="s">
        <v>263</v>
      </c>
      <c r="E151" s="6" t="str">
        <f aca="false">IFERROR(INDEX('QAR Kodları'!$B:$B,MATCH(D151,'QAR Kodları'!$A:$A,0)),"KOD BULUNAMADI")</f>
        <v>Inwards remittance of interest on debt securities debentures/bonds/frns etc</v>
      </c>
      <c r="F151" s="5" t="s">
        <v>32</v>
      </c>
      <c r="G151" s="6" t="s">
        <v>264</v>
      </c>
      <c r="H151" s="6" t="s">
        <v>265</v>
      </c>
    </row>
    <row r="152" customFormat="false" ht="23.85" hidden="false" customHeight="false" outlineLevel="0" collapsed="false">
      <c r="A152" s="4" t="str">
        <f aca="false">B152&amp;"-"&amp;D152</f>
        <v>6451-A6C11</v>
      </c>
      <c r="B152" s="5" t="n">
        <v>6451</v>
      </c>
      <c r="C152" s="6" t="s">
        <v>306</v>
      </c>
      <c r="D152" s="7" t="s">
        <v>245</v>
      </c>
      <c r="E152" s="6" t="str">
        <f aca="false">IFERROR(INDEX('QAR Kodları'!$B:$B,MATCH(D152,'QAR Kodları'!$A:$A,0)),"KOD BULUNAMADI")</f>
        <v>Repayment of loans extended to non-residents</v>
      </c>
      <c r="F152" s="5" t="s">
        <v>32</v>
      </c>
      <c r="G152" s="6" t="s">
        <v>246</v>
      </c>
      <c r="H152" s="6" t="s">
        <v>247</v>
      </c>
    </row>
    <row r="153" customFormat="false" ht="23.85" hidden="false" customHeight="false" outlineLevel="0" collapsed="false">
      <c r="A153" s="4" t="str">
        <f aca="false">B153&amp;"-"&amp;D153</f>
        <v>6452-A3A03</v>
      </c>
      <c r="B153" s="5" t="n">
        <v>6452</v>
      </c>
      <c r="C153" s="6" t="s">
        <v>307</v>
      </c>
      <c r="D153" s="7" t="s">
        <v>200</v>
      </c>
      <c r="E153" s="6" t="str">
        <f aca="false">IFERROR(INDEX('QAR Kodları'!$B:$B,MATCH(D153,'QAR Kodları'!$A:$A,0)),"KOD BULUNAMADI")</f>
        <v>Inwards remittance towards interest on loans extended to non residents (st/mt/lt loans)</v>
      </c>
      <c r="F153" s="5" t="s">
        <v>32</v>
      </c>
      <c r="G153" s="6" t="s">
        <v>249</v>
      </c>
      <c r="H153" s="6" t="s">
        <v>202</v>
      </c>
    </row>
    <row r="154" customFormat="false" ht="23.85" hidden="false" customHeight="false" outlineLevel="0" collapsed="false">
      <c r="A154" s="4" t="str">
        <f aca="false">B154&amp;"-"&amp;D154</f>
        <v>6453-A6C11</v>
      </c>
      <c r="B154" s="5" t="n">
        <v>6453</v>
      </c>
      <c r="C154" s="6" t="s">
        <v>308</v>
      </c>
      <c r="D154" s="7" t="s">
        <v>245</v>
      </c>
      <c r="E154" s="6" t="str">
        <f aca="false">IFERROR(INDEX('QAR Kodları'!$B:$B,MATCH(D154,'QAR Kodları'!$A:$A,0)),"KOD BULUNAMADI")</f>
        <v>Repayment of loans extended to non-residents</v>
      </c>
      <c r="F154" s="5" t="s">
        <v>32</v>
      </c>
      <c r="G154" s="6" t="s">
        <v>246</v>
      </c>
      <c r="H154" s="6" t="s">
        <v>247</v>
      </c>
    </row>
    <row r="155" customFormat="false" ht="23.85" hidden="false" customHeight="false" outlineLevel="0" collapsed="false">
      <c r="A155" s="4" t="str">
        <f aca="false">B155&amp;"-"&amp;D155</f>
        <v>6454-A3A03</v>
      </c>
      <c r="B155" s="5" t="n">
        <v>6454</v>
      </c>
      <c r="C155" s="6" t="s">
        <v>309</v>
      </c>
      <c r="D155" s="7" t="s">
        <v>200</v>
      </c>
      <c r="E155" s="6" t="str">
        <f aca="false">IFERROR(INDEX('QAR Kodları'!$B:$B,MATCH(D155,'QAR Kodları'!$A:$A,0)),"KOD BULUNAMADI")</f>
        <v>Inwards remittance towards interest on loans extended to non residents (st/mt/lt loans)</v>
      </c>
      <c r="F155" s="5" t="s">
        <v>32</v>
      </c>
      <c r="G155" s="6" t="s">
        <v>249</v>
      </c>
      <c r="H155" s="6" t="s">
        <v>202</v>
      </c>
    </row>
    <row r="156" customFormat="false" ht="23.85" hidden="false" customHeight="false" outlineLevel="0" collapsed="false">
      <c r="A156" s="4" t="str">
        <f aca="false">B156&amp;"-"&amp;D156</f>
        <v>6455-A6C11</v>
      </c>
      <c r="B156" s="5" t="n">
        <v>6455</v>
      </c>
      <c r="C156" s="6" t="s">
        <v>310</v>
      </c>
      <c r="D156" s="7" t="s">
        <v>245</v>
      </c>
      <c r="E156" s="6" t="str">
        <f aca="false">IFERROR(INDEX('QAR Kodları'!$B:$B,MATCH(D156,'QAR Kodları'!$A:$A,0)),"KOD BULUNAMADI")</f>
        <v>Repayment of loans extended to non-residents</v>
      </c>
      <c r="F156" s="5" t="s">
        <v>32</v>
      </c>
      <c r="G156" s="6" t="s">
        <v>246</v>
      </c>
      <c r="H156" s="6" t="s">
        <v>247</v>
      </c>
    </row>
    <row r="157" customFormat="false" ht="23.85" hidden="false" customHeight="false" outlineLevel="0" collapsed="false">
      <c r="A157" s="4" t="str">
        <f aca="false">B157&amp;"-"&amp;D157</f>
        <v>6456-A3A03</v>
      </c>
      <c r="B157" s="5" t="n">
        <v>6456</v>
      </c>
      <c r="C157" s="6" t="s">
        <v>311</v>
      </c>
      <c r="D157" s="7" t="s">
        <v>200</v>
      </c>
      <c r="E157" s="6" t="str">
        <f aca="false">IFERROR(INDEX('QAR Kodları'!$B:$B,MATCH(D157,'QAR Kodları'!$A:$A,0)),"KOD BULUNAMADI")</f>
        <v>Inwards remittance towards interest on loans extended to non residents (st/mt/lt loans)</v>
      </c>
      <c r="F157" s="5" t="s">
        <v>32</v>
      </c>
      <c r="G157" s="6" t="s">
        <v>249</v>
      </c>
      <c r="H157" s="6" t="s">
        <v>202</v>
      </c>
    </row>
    <row r="158" customFormat="false" ht="23.85" hidden="false" customHeight="false" outlineLevel="0" collapsed="false">
      <c r="A158" s="4" t="str">
        <f aca="false">B158&amp;"-"&amp;D158</f>
        <v>6461-A6C11</v>
      </c>
      <c r="B158" s="5" t="n">
        <v>6461</v>
      </c>
      <c r="C158" s="6" t="s">
        <v>312</v>
      </c>
      <c r="D158" s="7" t="s">
        <v>245</v>
      </c>
      <c r="E158" s="6" t="str">
        <f aca="false">IFERROR(INDEX('QAR Kodları'!$B:$B,MATCH(D158,'QAR Kodları'!$A:$A,0)),"KOD BULUNAMADI")</f>
        <v>Repayment of loans extended to non-residents</v>
      </c>
      <c r="F158" s="5" t="s">
        <v>32</v>
      </c>
      <c r="G158" s="6" t="s">
        <v>246</v>
      </c>
      <c r="H158" s="6" t="s">
        <v>247</v>
      </c>
    </row>
    <row r="159" customFormat="false" ht="23.85" hidden="false" customHeight="false" outlineLevel="0" collapsed="false">
      <c r="A159" s="4" t="str">
        <f aca="false">B159&amp;"-"&amp;D159</f>
        <v>6462-A3A03</v>
      </c>
      <c r="B159" s="5" t="n">
        <v>6462</v>
      </c>
      <c r="C159" s="6" t="s">
        <v>313</v>
      </c>
      <c r="D159" s="7" t="s">
        <v>200</v>
      </c>
      <c r="E159" s="6" t="str">
        <f aca="false">IFERROR(INDEX('QAR Kodları'!$B:$B,MATCH(D159,'QAR Kodları'!$A:$A,0)),"KOD BULUNAMADI")</f>
        <v>Inwards remittance towards interest on loans extended to non residents (st/mt/lt loans)</v>
      </c>
      <c r="F159" s="5" t="s">
        <v>32</v>
      </c>
      <c r="G159" s="6" t="s">
        <v>249</v>
      </c>
      <c r="H159" s="6" t="s">
        <v>202</v>
      </c>
    </row>
    <row r="160" customFormat="false" ht="23.85" hidden="false" customHeight="false" outlineLevel="0" collapsed="false">
      <c r="A160" s="4" t="str">
        <f aca="false">B160&amp;"-"&amp;D160</f>
        <v>6463-A6C11</v>
      </c>
      <c r="B160" s="5" t="n">
        <v>6463</v>
      </c>
      <c r="C160" s="6" t="s">
        <v>314</v>
      </c>
      <c r="D160" s="7" t="s">
        <v>245</v>
      </c>
      <c r="E160" s="6" t="str">
        <f aca="false">IFERROR(INDEX('QAR Kodları'!$B:$B,MATCH(D160,'QAR Kodları'!$A:$A,0)),"KOD BULUNAMADI")</f>
        <v>Repayment of loans extended to non-residents</v>
      </c>
      <c r="F160" s="5" t="s">
        <v>32</v>
      </c>
      <c r="G160" s="6" t="s">
        <v>246</v>
      </c>
      <c r="H160" s="6" t="s">
        <v>247</v>
      </c>
    </row>
    <row r="161" customFormat="false" ht="23.85" hidden="false" customHeight="false" outlineLevel="0" collapsed="false">
      <c r="A161" s="4" t="str">
        <f aca="false">B161&amp;"-"&amp;D161</f>
        <v>6464-A3A03</v>
      </c>
      <c r="B161" s="5" t="n">
        <v>6464</v>
      </c>
      <c r="C161" s="6" t="s">
        <v>315</v>
      </c>
      <c r="D161" s="7" t="s">
        <v>200</v>
      </c>
      <c r="E161" s="6" t="str">
        <f aca="false">IFERROR(INDEX('QAR Kodları'!$B:$B,MATCH(D161,'QAR Kodları'!$A:$A,0)),"KOD BULUNAMADI")</f>
        <v>Inwards remittance towards interest on loans extended to non residents (st/mt/lt loans)</v>
      </c>
      <c r="F161" s="5" t="s">
        <v>32</v>
      </c>
      <c r="G161" s="6" t="s">
        <v>249</v>
      </c>
      <c r="H161" s="6" t="s">
        <v>202</v>
      </c>
    </row>
    <row r="162" customFormat="false" ht="35.05" hidden="false" customHeight="false" outlineLevel="0" collapsed="false">
      <c r="A162" s="4" t="str">
        <f aca="false">B162&amp;"-"&amp;D162</f>
        <v>6471-A6B02</v>
      </c>
      <c r="B162" s="5" t="n">
        <v>6471</v>
      </c>
      <c r="C162" s="6" t="s">
        <v>316</v>
      </c>
      <c r="D162" s="7" t="s">
        <v>259</v>
      </c>
      <c r="E162" s="6" t="str">
        <f aca="false">IFERROR(INDEX('QAR Kodları'!$B:$B,MATCH(D162,'QAR Kodları'!$A:$A,0)),"KOD BULUNAMADI")</f>
        <v>Repatriation of Qatari investment abroad in debt securities</v>
      </c>
      <c r="F162" s="5" t="s">
        <v>32</v>
      </c>
      <c r="G162" s="6" t="s">
        <v>260</v>
      </c>
      <c r="H162" s="6" t="s">
        <v>261</v>
      </c>
    </row>
    <row r="163" customFormat="false" ht="35.05" hidden="false" customHeight="false" outlineLevel="0" collapsed="false">
      <c r="A163" s="4" t="str">
        <f aca="false">B163&amp;"-"&amp;D163</f>
        <v>6472-A3A04</v>
      </c>
      <c r="B163" s="5" t="n">
        <v>6472</v>
      </c>
      <c r="C163" s="6" t="s">
        <v>317</v>
      </c>
      <c r="D163" s="7" t="s">
        <v>263</v>
      </c>
      <c r="E163" s="6" t="str">
        <f aca="false">IFERROR(INDEX('QAR Kodları'!$B:$B,MATCH(D163,'QAR Kodları'!$A:$A,0)),"KOD BULUNAMADI")</f>
        <v>Inwards remittance of interest on debt securities debentures/bonds/frns etc</v>
      </c>
      <c r="F163" s="5" t="s">
        <v>32</v>
      </c>
      <c r="G163" s="6" t="s">
        <v>264</v>
      </c>
      <c r="H163" s="6" t="s">
        <v>265</v>
      </c>
    </row>
    <row r="164" customFormat="false" ht="35.05" hidden="false" customHeight="false" outlineLevel="0" collapsed="false">
      <c r="A164" s="4" t="str">
        <f aca="false">B164&amp;"-"&amp;D164</f>
        <v>6473-A6B02</v>
      </c>
      <c r="B164" s="5" t="n">
        <v>6473</v>
      </c>
      <c r="C164" s="6" t="s">
        <v>318</v>
      </c>
      <c r="D164" s="7" t="s">
        <v>259</v>
      </c>
      <c r="E164" s="6" t="str">
        <f aca="false">IFERROR(INDEX('QAR Kodları'!$B:$B,MATCH(D164,'QAR Kodları'!$A:$A,0)),"KOD BULUNAMADI")</f>
        <v>Repatriation of Qatari investment abroad in debt securities</v>
      </c>
      <c r="F164" s="5" t="s">
        <v>32</v>
      </c>
      <c r="G164" s="6" t="s">
        <v>260</v>
      </c>
      <c r="H164" s="6" t="s">
        <v>261</v>
      </c>
    </row>
    <row r="165" customFormat="false" ht="35.05" hidden="false" customHeight="false" outlineLevel="0" collapsed="false">
      <c r="A165" s="4" t="str">
        <f aca="false">B165&amp;"-"&amp;D165</f>
        <v>6474-A3A04</v>
      </c>
      <c r="B165" s="5" t="n">
        <v>6474</v>
      </c>
      <c r="C165" s="6" t="s">
        <v>319</v>
      </c>
      <c r="D165" s="7" t="s">
        <v>263</v>
      </c>
      <c r="E165" s="6" t="str">
        <f aca="false">IFERROR(INDEX('QAR Kodları'!$B:$B,MATCH(D165,'QAR Kodları'!$A:$A,0)),"KOD BULUNAMADI")</f>
        <v>Inwards remittance of interest on debt securities debentures/bonds/frns etc</v>
      </c>
      <c r="F165" s="5" t="s">
        <v>32</v>
      </c>
      <c r="G165" s="6" t="s">
        <v>264</v>
      </c>
      <c r="H165" s="6" t="s">
        <v>265</v>
      </c>
    </row>
    <row r="166" customFormat="false" ht="46.25" hidden="false" customHeight="false" outlineLevel="0" collapsed="false">
      <c r="A166" s="4" t="str">
        <f aca="false">B166&amp;"-"&amp;D166</f>
        <v>6551-A3A03</v>
      </c>
      <c r="B166" s="5" t="n">
        <v>6551</v>
      </c>
      <c r="C166" s="6" t="s">
        <v>320</v>
      </c>
      <c r="D166" s="7" t="s">
        <v>200</v>
      </c>
      <c r="E166" s="6" t="str">
        <f aca="false">IFERROR(INDEX('QAR Kodları'!$B:$B,MATCH(D166,'QAR Kodları'!$A:$A,0)),"KOD BULUNAMADI")</f>
        <v>Inwards remittance towards interest on loans extended to non residents (st/mt/lt loans)</v>
      </c>
      <c r="F166" s="5" t="s">
        <v>27</v>
      </c>
      <c r="G166" s="6" t="s">
        <v>201</v>
      </c>
      <c r="H166" s="6" t="s">
        <v>202</v>
      </c>
    </row>
    <row r="167" customFormat="false" ht="46.25" hidden="false" customHeight="false" outlineLevel="0" collapsed="false">
      <c r="A167" s="4" t="str">
        <f aca="false">B167&amp;"-"&amp;D167</f>
        <v>6561-A3A03</v>
      </c>
      <c r="B167" s="5" t="n">
        <v>6561</v>
      </c>
      <c r="C167" s="6" t="s">
        <v>321</v>
      </c>
      <c r="D167" s="7" t="s">
        <v>200</v>
      </c>
      <c r="E167" s="6" t="str">
        <f aca="false">IFERROR(INDEX('QAR Kodları'!$B:$B,MATCH(D167,'QAR Kodları'!$A:$A,0)),"KOD BULUNAMADI")</f>
        <v>Inwards remittance towards interest on loans extended to non residents (st/mt/lt loans)</v>
      </c>
      <c r="F167" s="5" t="s">
        <v>27</v>
      </c>
      <c r="G167" s="6" t="s">
        <v>201</v>
      </c>
      <c r="H167" s="6" t="s">
        <v>202</v>
      </c>
    </row>
    <row r="168" customFormat="false" ht="46.25" hidden="false" customHeight="false" outlineLevel="0" collapsed="false">
      <c r="A168" s="4" t="str">
        <f aca="false">B168&amp;"-"&amp;D168</f>
        <v>6570-A6C11</v>
      </c>
      <c r="B168" s="5" t="n">
        <v>6570</v>
      </c>
      <c r="C168" s="6" t="s">
        <v>322</v>
      </c>
      <c r="D168" s="7" t="s">
        <v>245</v>
      </c>
      <c r="E168" s="6" t="str">
        <f aca="false">IFERROR(INDEX('QAR Kodları'!$B:$B,MATCH(D168,'QAR Kodları'!$A:$A,0)),"KOD BULUNAMADI")</f>
        <v>Repayment of loans extended to non-residents</v>
      </c>
      <c r="F168" s="5" t="s">
        <v>32</v>
      </c>
      <c r="G168" s="6" t="s">
        <v>246</v>
      </c>
      <c r="H168" s="6" t="s">
        <v>247</v>
      </c>
    </row>
    <row r="169" customFormat="false" ht="46.25" hidden="false" customHeight="false" outlineLevel="0" collapsed="false">
      <c r="A169" s="4" t="str">
        <f aca="false">B169&amp;"-"&amp;D169</f>
        <v>6571-A3A03</v>
      </c>
      <c r="B169" s="5" t="n">
        <v>6571</v>
      </c>
      <c r="C169" s="6" t="s">
        <v>323</v>
      </c>
      <c r="D169" s="7" t="s">
        <v>200</v>
      </c>
      <c r="E169" s="6" t="str">
        <f aca="false">IFERROR(INDEX('QAR Kodları'!$B:$B,MATCH(D169,'QAR Kodları'!$A:$A,0)),"KOD BULUNAMADI")</f>
        <v>Inwards remittance towards interest on loans extended to non residents (st/mt/lt loans)</v>
      </c>
      <c r="F169" s="5" t="s">
        <v>32</v>
      </c>
      <c r="G169" s="6" t="s">
        <v>249</v>
      </c>
      <c r="H169" s="6" t="s">
        <v>202</v>
      </c>
    </row>
    <row r="170" customFormat="false" ht="46.25" hidden="false" customHeight="false" outlineLevel="0" collapsed="false">
      <c r="A170" s="4" t="str">
        <f aca="false">B170&amp;"-"&amp;D170</f>
        <v>6572-A6C11</v>
      </c>
      <c r="B170" s="5" t="n">
        <v>6572</v>
      </c>
      <c r="C170" s="6" t="s">
        <v>324</v>
      </c>
      <c r="D170" s="7" t="s">
        <v>245</v>
      </c>
      <c r="E170" s="6" t="str">
        <f aca="false">IFERROR(INDEX('QAR Kodları'!$B:$B,MATCH(D170,'QAR Kodları'!$A:$A,0)),"KOD BULUNAMADI")</f>
        <v>Repayment of loans extended to non-residents</v>
      </c>
      <c r="F170" s="5" t="s">
        <v>32</v>
      </c>
      <c r="G170" s="6" t="s">
        <v>246</v>
      </c>
      <c r="H170" s="6" t="s">
        <v>247</v>
      </c>
    </row>
    <row r="171" customFormat="false" ht="46.25" hidden="false" customHeight="false" outlineLevel="0" collapsed="false">
      <c r="A171" s="4" t="str">
        <f aca="false">B171&amp;"-"&amp;D171</f>
        <v>6573-A3A03</v>
      </c>
      <c r="B171" s="5" t="n">
        <v>6573</v>
      </c>
      <c r="C171" s="6" t="s">
        <v>325</v>
      </c>
      <c r="D171" s="7" t="s">
        <v>200</v>
      </c>
      <c r="E171" s="6" t="str">
        <f aca="false">IFERROR(INDEX('QAR Kodları'!$B:$B,MATCH(D171,'QAR Kodları'!$A:$A,0)),"KOD BULUNAMADI")</f>
        <v>Inwards remittance towards interest on loans extended to non residents (st/mt/lt loans)</v>
      </c>
      <c r="F171" s="5" t="s">
        <v>32</v>
      </c>
      <c r="G171" s="6" t="s">
        <v>249</v>
      </c>
      <c r="H171" s="6" t="s">
        <v>202</v>
      </c>
    </row>
    <row r="172" customFormat="false" ht="46.25" hidden="false" customHeight="false" outlineLevel="0" collapsed="false">
      <c r="A172" s="4" t="str">
        <f aca="false">B172&amp;"-"&amp;D172</f>
        <v>6580-A6C11</v>
      </c>
      <c r="B172" s="5" t="n">
        <v>6580</v>
      </c>
      <c r="C172" s="6" t="s">
        <v>326</v>
      </c>
      <c r="D172" s="7" t="s">
        <v>245</v>
      </c>
      <c r="E172" s="6" t="str">
        <f aca="false">IFERROR(INDEX('QAR Kodları'!$B:$B,MATCH(D172,'QAR Kodları'!$A:$A,0)),"KOD BULUNAMADI")</f>
        <v>Repayment of loans extended to non-residents</v>
      </c>
      <c r="F172" s="5" t="s">
        <v>32</v>
      </c>
      <c r="G172" s="6" t="s">
        <v>246</v>
      </c>
      <c r="H172" s="6" t="s">
        <v>247</v>
      </c>
    </row>
    <row r="173" customFormat="false" ht="46.25" hidden="false" customHeight="false" outlineLevel="0" collapsed="false">
      <c r="A173" s="4" t="str">
        <f aca="false">B173&amp;"-"&amp;D173</f>
        <v>6581-A3A03</v>
      </c>
      <c r="B173" s="5" t="n">
        <v>6581</v>
      </c>
      <c r="C173" s="6" t="s">
        <v>327</v>
      </c>
      <c r="D173" s="7" t="s">
        <v>200</v>
      </c>
      <c r="E173" s="6" t="str">
        <f aca="false">IFERROR(INDEX('QAR Kodları'!$B:$B,MATCH(D173,'QAR Kodları'!$A:$A,0)),"KOD BULUNAMADI")</f>
        <v>Inwards remittance towards interest on loans extended to non residents (st/mt/lt loans)</v>
      </c>
      <c r="F173" s="5" t="s">
        <v>32</v>
      </c>
      <c r="G173" s="6" t="s">
        <v>249</v>
      </c>
      <c r="H173" s="6" t="s">
        <v>202</v>
      </c>
    </row>
    <row r="174" customFormat="false" ht="46.25" hidden="false" customHeight="false" outlineLevel="0" collapsed="false">
      <c r="A174" s="4" t="str">
        <f aca="false">B174&amp;"-"&amp;D174</f>
        <v>6582-A6C11</v>
      </c>
      <c r="B174" s="5" t="n">
        <v>6582</v>
      </c>
      <c r="C174" s="6" t="s">
        <v>328</v>
      </c>
      <c r="D174" s="7" t="s">
        <v>245</v>
      </c>
      <c r="E174" s="6" t="str">
        <f aca="false">IFERROR(INDEX('QAR Kodları'!$B:$B,MATCH(D174,'QAR Kodları'!$A:$A,0)),"KOD BULUNAMADI")</f>
        <v>Repayment of loans extended to non-residents</v>
      </c>
      <c r="F174" s="5" t="s">
        <v>32</v>
      </c>
      <c r="G174" s="6" t="s">
        <v>246</v>
      </c>
      <c r="H174" s="6" t="s">
        <v>247</v>
      </c>
    </row>
    <row r="175" customFormat="false" ht="46.25" hidden="false" customHeight="false" outlineLevel="0" collapsed="false">
      <c r="A175" s="4" t="str">
        <f aca="false">B175&amp;"-"&amp;D175</f>
        <v>6583-A3A03</v>
      </c>
      <c r="B175" s="5" t="n">
        <v>6583</v>
      </c>
      <c r="C175" s="6" t="s">
        <v>329</v>
      </c>
      <c r="D175" s="7" t="s">
        <v>200</v>
      </c>
      <c r="E175" s="6" t="str">
        <f aca="false">IFERROR(INDEX('QAR Kodları'!$B:$B,MATCH(D175,'QAR Kodları'!$A:$A,0)),"KOD BULUNAMADI")</f>
        <v>Inwards remittance towards interest on loans extended to non residents (st/mt/lt loans)</v>
      </c>
      <c r="F175" s="5" t="s">
        <v>32</v>
      </c>
      <c r="G175" s="6" t="s">
        <v>249</v>
      </c>
      <c r="H175" s="6" t="s">
        <v>202</v>
      </c>
    </row>
    <row r="176" customFormat="false" ht="23.85" hidden="false" customHeight="false" outlineLevel="0" collapsed="false">
      <c r="A176" s="4" t="str">
        <f aca="false">B176&amp;"-"&amp;D176</f>
        <v>6590-A6C11</v>
      </c>
      <c r="B176" s="5" t="n">
        <v>6590</v>
      </c>
      <c r="C176" s="6" t="s">
        <v>330</v>
      </c>
      <c r="D176" s="7" t="s">
        <v>245</v>
      </c>
      <c r="E176" s="6" t="str">
        <f aca="false">IFERROR(INDEX('QAR Kodları'!$B:$B,MATCH(D176,'QAR Kodları'!$A:$A,0)),"KOD BULUNAMADI")</f>
        <v>Repayment of loans extended to non-residents</v>
      </c>
      <c r="F176" s="5" t="s">
        <v>27</v>
      </c>
      <c r="G176" s="6" t="s">
        <v>331</v>
      </c>
      <c r="H176" s="6" t="s">
        <v>247</v>
      </c>
    </row>
    <row r="177" customFormat="false" ht="23.85" hidden="false" customHeight="false" outlineLevel="0" collapsed="false">
      <c r="A177" s="4" t="str">
        <f aca="false">B177&amp;"-"&amp;D177</f>
        <v>6591-A3A03</v>
      </c>
      <c r="B177" s="5" t="n">
        <v>6591</v>
      </c>
      <c r="C177" s="6" t="s">
        <v>332</v>
      </c>
      <c r="D177" s="7" t="s">
        <v>200</v>
      </c>
      <c r="E177" s="6" t="str">
        <f aca="false">IFERROR(INDEX('QAR Kodları'!$B:$B,MATCH(D177,'QAR Kodları'!$A:$A,0)),"KOD BULUNAMADI")</f>
        <v>Inwards remittance towards interest on loans extended to non residents (st/mt/lt loans)</v>
      </c>
      <c r="F177" s="5" t="s">
        <v>27</v>
      </c>
      <c r="G177" s="6" t="s">
        <v>333</v>
      </c>
      <c r="H177" s="6" t="s">
        <v>202</v>
      </c>
    </row>
    <row r="178" customFormat="false" ht="23.85" hidden="false" customHeight="false" outlineLevel="0" collapsed="false">
      <c r="A178" s="4" t="str">
        <f aca="false">B178&amp;"-"&amp;D178</f>
        <v>6592-A6C11</v>
      </c>
      <c r="B178" s="5" t="n">
        <v>6592</v>
      </c>
      <c r="C178" s="6" t="s">
        <v>334</v>
      </c>
      <c r="D178" s="7" t="s">
        <v>245</v>
      </c>
      <c r="E178" s="6" t="str">
        <f aca="false">IFERROR(INDEX('QAR Kodları'!$B:$B,MATCH(D178,'QAR Kodları'!$A:$A,0)),"KOD BULUNAMADI")</f>
        <v>Repayment of loans extended to non-residents</v>
      </c>
      <c r="F178" s="5" t="s">
        <v>27</v>
      </c>
      <c r="G178" s="6" t="s">
        <v>331</v>
      </c>
      <c r="H178" s="6" t="s">
        <v>247</v>
      </c>
    </row>
    <row r="179" customFormat="false" ht="23.85" hidden="false" customHeight="false" outlineLevel="0" collapsed="false">
      <c r="A179" s="4" t="str">
        <f aca="false">B179&amp;"-"&amp;D179</f>
        <v>6593-A3A03</v>
      </c>
      <c r="B179" s="5" t="n">
        <v>6593</v>
      </c>
      <c r="C179" s="6" t="s">
        <v>335</v>
      </c>
      <c r="D179" s="7" t="s">
        <v>200</v>
      </c>
      <c r="E179" s="6" t="str">
        <f aca="false">IFERROR(INDEX('QAR Kodları'!$B:$B,MATCH(D179,'QAR Kodları'!$A:$A,0)),"KOD BULUNAMADI")</f>
        <v>Inwards remittance towards interest on loans extended to non residents (st/mt/lt loans)</v>
      </c>
      <c r="F179" s="5" t="s">
        <v>27</v>
      </c>
      <c r="G179" s="6" t="s">
        <v>333</v>
      </c>
      <c r="H179" s="6" t="s">
        <v>202</v>
      </c>
    </row>
    <row r="180" customFormat="false" ht="35.05" hidden="false" customHeight="false" outlineLevel="0" collapsed="false">
      <c r="A180" s="4" t="str">
        <f aca="false">B180&amp;"-"&amp;D180</f>
        <v>6685-A7A01</v>
      </c>
      <c r="B180" s="5" t="n">
        <v>6685</v>
      </c>
      <c r="C180" s="6" t="s">
        <v>336</v>
      </c>
      <c r="D180" s="7" t="s">
        <v>337</v>
      </c>
      <c r="E180" s="6" t="str">
        <f aca="false">IFERROR(INDEX('QAR Kodları'!$B:$B,MATCH(D180,'QAR Kodları'!$A:$A,0)),"KOD BULUNAMADI")</f>
        <v>Refund/rebates on account of imports</v>
      </c>
      <c r="F180" s="5" t="s">
        <v>27</v>
      </c>
      <c r="G180" s="6" t="s">
        <v>338</v>
      </c>
      <c r="H180" s="6" t="s">
        <v>247</v>
      </c>
    </row>
    <row r="181" customFormat="false" ht="35.05" hidden="false" customHeight="false" outlineLevel="0" collapsed="false">
      <c r="A181" s="4" t="str">
        <f aca="false">B181&amp;"-"&amp;D181</f>
        <v>6686-A3A03</v>
      </c>
      <c r="B181" s="5" t="n">
        <v>6686</v>
      </c>
      <c r="C181" s="6" t="s">
        <v>339</v>
      </c>
      <c r="D181" s="7" t="s">
        <v>200</v>
      </c>
      <c r="E181" s="6" t="str">
        <f aca="false">IFERROR(INDEX('QAR Kodları'!$B:$B,MATCH(D181,'QAR Kodları'!$A:$A,0)),"KOD BULUNAMADI")</f>
        <v>Inwards remittance towards interest on loans extended to non residents (st/mt/lt loans)</v>
      </c>
      <c r="F181" s="5" t="s">
        <v>27</v>
      </c>
      <c r="G181" s="6" t="s">
        <v>340</v>
      </c>
      <c r="H181" s="6" t="s">
        <v>202</v>
      </c>
    </row>
    <row r="182" customFormat="false" ht="23.85" hidden="false" customHeight="false" outlineLevel="0" collapsed="false">
      <c r="A182" s="4" t="str">
        <f aca="false">B182&amp;"-"&amp;D182</f>
        <v>7000-A6A04</v>
      </c>
      <c r="B182" s="5" t="n">
        <v>7000</v>
      </c>
      <c r="C182" s="6" t="s">
        <v>341</v>
      </c>
      <c r="D182" s="7" t="s">
        <v>342</v>
      </c>
      <c r="E182" s="6" t="str">
        <f aca="false">IFERROR(INDEX('QAR Kodları'!$B:$B,MATCH(D182,'QAR Kodları'!$A:$A,0)),"KOD BULUNAMADI")</f>
        <v>Repatriation of Qatari investment abroad in subsidiaries &amp; associates</v>
      </c>
      <c r="F182" s="5" t="s">
        <v>27</v>
      </c>
      <c r="G182" s="6" t="s">
        <v>343</v>
      </c>
      <c r="H182" s="6" t="s">
        <v>344</v>
      </c>
    </row>
    <row r="183" customFormat="false" ht="23.85" hidden="false" customHeight="false" outlineLevel="0" collapsed="false">
      <c r="A183" s="4" t="str">
        <f aca="false">B183&amp;"-"&amp;D183</f>
        <v>7001-A3A06</v>
      </c>
      <c r="B183" s="5" t="n">
        <v>7001</v>
      </c>
      <c r="C183" s="6" t="s">
        <v>345</v>
      </c>
      <c r="D183" s="7" t="s">
        <v>346</v>
      </c>
      <c r="E183" s="6" t="str">
        <f aca="false">IFERROR(INDEX('QAR Kodları'!$B:$B,MATCH(D183,'QAR Kodları'!$A:$A,0)),"KOD BULUNAMADI")</f>
        <v>Remittance towards repatriation of profits to Qatar</v>
      </c>
      <c r="F183" s="5" t="s">
        <v>32</v>
      </c>
      <c r="G183" s="6" t="s">
        <v>347</v>
      </c>
      <c r="H183" s="6" t="s">
        <v>348</v>
      </c>
    </row>
    <row r="184" customFormat="false" ht="23.85" hidden="false" customHeight="false" outlineLevel="0" collapsed="false">
      <c r="A184" s="4" t="str">
        <f aca="false">B184&amp;"-"&amp;D184</f>
        <v>7002-A6A05</v>
      </c>
      <c r="B184" s="5" t="n">
        <v>7002</v>
      </c>
      <c r="C184" s="6" t="s">
        <v>349</v>
      </c>
      <c r="D184" s="7" t="s">
        <v>350</v>
      </c>
      <c r="E184" s="6" t="str">
        <f aca="false">IFERROR(INDEX('QAR Kodları'!$B:$B,MATCH(D184,'QAR Kodları'!$A:$A,0)),"KOD BULUNAMADI")</f>
        <v>Repatriation of Qatari investment abroad in real estate</v>
      </c>
      <c r="F184" s="5" t="s">
        <v>32</v>
      </c>
      <c r="G184" s="6" t="s">
        <v>351</v>
      </c>
      <c r="H184" s="6" t="s">
        <v>352</v>
      </c>
    </row>
    <row r="185" customFormat="false" ht="15" hidden="false" customHeight="false" outlineLevel="0" collapsed="false">
      <c r="A185" s="4" t="str">
        <f aca="false">B185&amp;"-"&amp;D185</f>
        <v>7003-A3A06</v>
      </c>
      <c r="B185" s="5" t="n">
        <v>7003</v>
      </c>
      <c r="C185" s="6" t="s">
        <v>353</v>
      </c>
      <c r="D185" s="7" t="s">
        <v>346</v>
      </c>
      <c r="E185" s="6" t="str">
        <f aca="false">IFERROR(INDEX('QAR Kodları'!$B:$B,MATCH(D185,'QAR Kodları'!$A:$A,0)),"KOD BULUNAMADI")</f>
        <v>Remittance towards repatriation of profits to Qatar</v>
      </c>
      <c r="F185" s="5" t="s">
        <v>23</v>
      </c>
      <c r="G185" s="6" t="s">
        <v>354</v>
      </c>
      <c r="H185" s="6" t="s">
        <v>352</v>
      </c>
    </row>
    <row r="186" customFormat="false" ht="35.05" hidden="false" customHeight="false" outlineLevel="0" collapsed="false">
      <c r="A186" s="4" t="str">
        <f aca="false">B186&amp;"-"&amp;D186</f>
        <v>7004-A3A06</v>
      </c>
      <c r="B186" s="5" t="n">
        <v>7004</v>
      </c>
      <c r="C186" s="6" t="s">
        <v>355</v>
      </c>
      <c r="D186" s="7" t="s">
        <v>346</v>
      </c>
      <c r="E186" s="6" t="str">
        <f aca="false">IFERROR(INDEX('QAR Kodları'!$B:$B,MATCH(D186,'QAR Kodları'!$A:$A,0)),"KOD BULUNAMADI")</f>
        <v>Remittance towards repatriation of profits to Qatar</v>
      </c>
      <c r="F186" s="5" t="s">
        <v>23</v>
      </c>
      <c r="G186" s="6" t="s">
        <v>356</v>
      </c>
      <c r="H186" s="6" t="s">
        <v>344</v>
      </c>
    </row>
    <row r="187" customFormat="false" ht="35.05" hidden="false" customHeight="false" outlineLevel="0" collapsed="false">
      <c r="A187" s="4" t="str">
        <f aca="false">B187&amp;"-"&amp;D187</f>
        <v>7010-A6A06</v>
      </c>
      <c r="B187" s="5" t="n">
        <v>7010</v>
      </c>
      <c r="C187" s="6" t="s">
        <v>357</v>
      </c>
      <c r="D187" s="7" t="s">
        <v>358</v>
      </c>
      <c r="E187" s="6" t="str">
        <f aca="false">IFERROR(INDEX('QAR Kodları'!$B:$B,MATCH(D187,'QAR Kodları'!$A:$A,0)),"KOD BULUNAMADI")</f>
        <v>Foreign direct investment in Qatar in equity</v>
      </c>
      <c r="F187" s="5" t="s">
        <v>32</v>
      </c>
      <c r="G187" s="6" t="s">
        <v>359</v>
      </c>
      <c r="H187" s="6" t="s">
        <v>344</v>
      </c>
    </row>
    <row r="188" customFormat="false" ht="15" hidden="false" customHeight="false" outlineLevel="0" collapsed="false">
      <c r="A188" s="4" t="str">
        <f aca="false">B188&amp;"-"&amp;D188</f>
        <v>7012-A6A08</v>
      </c>
      <c r="B188" s="5" t="n">
        <v>7012</v>
      </c>
      <c r="C188" s="6" t="s">
        <v>360</v>
      </c>
      <c r="D188" s="7" t="s">
        <v>361</v>
      </c>
      <c r="E188" s="6" t="str">
        <f aca="false">IFERROR(INDEX('QAR Kodları'!$B:$B,MATCH(D188,'QAR Kodları'!$A:$A,0)),"KOD BULUNAMADI")</f>
        <v>Foreign direct investment in Qatar in real estate</v>
      </c>
      <c r="F188" s="5" t="s">
        <v>32</v>
      </c>
      <c r="G188" s="6" t="s">
        <v>362</v>
      </c>
      <c r="H188" s="6" t="s">
        <v>352</v>
      </c>
    </row>
    <row r="189" customFormat="false" ht="35.05" hidden="false" customHeight="false" outlineLevel="0" collapsed="false">
      <c r="A189" s="4" t="str">
        <f aca="false">B189&amp;"-"&amp;D189</f>
        <v>7014-A6A06</v>
      </c>
      <c r="B189" s="5" t="n">
        <v>7014</v>
      </c>
      <c r="C189" s="6" t="s">
        <v>363</v>
      </c>
      <c r="D189" s="7" t="s">
        <v>358</v>
      </c>
      <c r="E189" s="6" t="str">
        <f aca="false">IFERROR(INDEX('QAR Kodları'!$B:$B,MATCH(D189,'QAR Kodları'!$A:$A,0)),"KOD BULUNAMADI")</f>
        <v>Foreign direct investment in Qatar in equity</v>
      </c>
      <c r="F189" s="5" t="s">
        <v>23</v>
      </c>
      <c r="G189" s="6" t="s">
        <v>364</v>
      </c>
      <c r="H189" s="6" t="s">
        <v>344</v>
      </c>
    </row>
    <row r="190" customFormat="false" ht="46.25" hidden="false" customHeight="false" outlineLevel="0" collapsed="false">
      <c r="A190" s="4" t="str">
        <f aca="false">B190&amp;"-"&amp;D190</f>
        <v>7100-A6B01</v>
      </c>
      <c r="B190" s="5" t="n">
        <v>7100</v>
      </c>
      <c r="C190" s="6" t="s">
        <v>365</v>
      </c>
      <c r="D190" s="7" t="s">
        <v>366</v>
      </c>
      <c r="E190" s="6" t="str">
        <f aca="false">IFERROR(INDEX('QAR Kodları'!$B:$B,MATCH(D190,'QAR Kodları'!$A:$A,0)),"KOD BULUNAMADI")</f>
        <v>Repatriation of Qatari investment abroad in equity capital (shares)</v>
      </c>
      <c r="F190" s="5" t="s">
        <v>27</v>
      </c>
      <c r="G190" s="6" t="s">
        <v>367</v>
      </c>
      <c r="H190" s="6" t="s">
        <v>368</v>
      </c>
    </row>
    <row r="191" customFormat="false" ht="46.25" hidden="false" customHeight="false" outlineLevel="0" collapsed="false">
      <c r="A191" s="4" t="str">
        <f aca="false">B191&amp;"-"&amp;D191</f>
        <v>7101-A3A04</v>
      </c>
      <c r="B191" s="5" t="n">
        <v>7101</v>
      </c>
      <c r="C191" s="6" t="s">
        <v>369</v>
      </c>
      <c r="D191" s="7" t="s">
        <v>263</v>
      </c>
      <c r="E191" s="6" t="str">
        <f aca="false">IFERROR(INDEX('QAR Kodları'!$B:$B,MATCH(D191,'QAR Kodları'!$A:$A,0)),"KOD BULUNAMADI")</f>
        <v>Inwards remittance of interest on debt securities debentures/bonds/frns etc</v>
      </c>
      <c r="F191" s="5" t="s">
        <v>27</v>
      </c>
      <c r="G191" s="6" t="s">
        <v>370</v>
      </c>
      <c r="H191" s="6" t="s">
        <v>265</v>
      </c>
    </row>
    <row r="192" customFormat="false" ht="23.85" hidden="false" customHeight="false" outlineLevel="0" collapsed="false">
      <c r="A192" s="4" t="str">
        <f aca="false">B192&amp;"-"&amp;D192</f>
        <v>7102-A6B02</v>
      </c>
      <c r="B192" s="5" t="n">
        <v>7102</v>
      </c>
      <c r="C192" s="6" t="s">
        <v>371</v>
      </c>
      <c r="D192" s="7" t="s">
        <v>259</v>
      </c>
      <c r="E192" s="6" t="str">
        <f aca="false">IFERROR(INDEX('QAR Kodları'!$B:$B,MATCH(D192,'QAR Kodları'!$A:$A,0)),"KOD BULUNAMADI")</f>
        <v>Repatriation of Qatari investment abroad in debt securities</v>
      </c>
      <c r="F192" s="5" t="s">
        <v>32</v>
      </c>
      <c r="G192" s="6" t="s">
        <v>372</v>
      </c>
      <c r="H192" s="6" t="s">
        <v>261</v>
      </c>
    </row>
    <row r="193" customFormat="false" ht="23.85" hidden="false" customHeight="false" outlineLevel="0" collapsed="false">
      <c r="A193" s="4" t="str">
        <f aca="false">B193&amp;"-"&amp;D193</f>
        <v>7103-A3A04</v>
      </c>
      <c r="B193" s="5" t="n">
        <v>7103</v>
      </c>
      <c r="C193" s="6" t="s">
        <v>373</v>
      </c>
      <c r="D193" s="7" t="s">
        <v>263</v>
      </c>
      <c r="E193" s="6" t="str">
        <f aca="false">IFERROR(INDEX('QAR Kodları'!$B:$B,MATCH(D193,'QAR Kodları'!$A:$A,0)),"KOD BULUNAMADI")</f>
        <v>Inwards remittance of interest on debt securities debentures/bonds/frns etc</v>
      </c>
      <c r="F193" s="5" t="s">
        <v>32</v>
      </c>
      <c r="G193" s="6" t="s">
        <v>264</v>
      </c>
      <c r="H193" s="6" t="s">
        <v>265</v>
      </c>
    </row>
    <row r="194" customFormat="false" ht="35.05" hidden="false" customHeight="false" outlineLevel="0" collapsed="false">
      <c r="A194" s="4" t="str">
        <f aca="false">B194&amp;"-"&amp;D194</f>
        <v>7110-A6B10</v>
      </c>
      <c r="B194" s="5" t="n">
        <v>7110</v>
      </c>
      <c r="C194" s="6" t="s">
        <v>374</v>
      </c>
      <c r="D194" s="7" t="s">
        <v>375</v>
      </c>
      <c r="E194" s="6" t="str">
        <f aca="false">IFERROR(INDEX('QAR Kodları'!$B:$B,MATCH(D194,'QAR Kodları'!$A:$A,0)),"KOD BULUNAMADI")</f>
        <v>Foreign portfolio investment in Qatar in debt securities incl. Debt funds</v>
      </c>
      <c r="F194" s="5" t="s">
        <v>32</v>
      </c>
      <c r="G194" s="6" t="s">
        <v>376</v>
      </c>
      <c r="H194" s="6" t="s">
        <v>368</v>
      </c>
    </row>
    <row r="195" customFormat="false" ht="35.05" hidden="false" customHeight="false" outlineLevel="0" collapsed="false">
      <c r="A195" s="4" t="str">
        <f aca="false">B195&amp;"-"&amp;D195</f>
        <v>7112-A6B10</v>
      </c>
      <c r="B195" s="5" t="n">
        <v>7112</v>
      </c>
      <c r="C195" s="6" t="s">
        <v>377</v>
      </c>
      <c r="D195" s="7" t="s">
        <v>375</v>
      </c>
      <c r="E195" s="6" t="str">
        <f aca="false">IFERROR(INDEX('QAR Kodları'!$B:$B,MATCH(D195,'QAR Kodları'!$A:$A,0)),"KOD BULUNAMADI")</f>
        <v>Foreign portfolio investment in Qatar in debt securities incl. Debt funds</v>
      </c>
      <c r="F195" s="5" t="s">
        <v>32</v>
      </c>
      <c r="G195" s="6" t="s">
        <v>376</v>
      </c>
      <c r="H195" s="6" t="s">
        <v>368</v>
      </c>
    </row>
    <row r="196" customFormat="false" ht="23.85" hidden="false" customHeight="false" outlineLevel="0" collapsed="false">
      <c r="A196" s="4" t="str">
        <f aca="false">B196&amp;"-"&amp;D196</f>
        <v>7114-A6B02</v>
      </c>
      <c r="B196" s="5" t="n">
        <v>7114</v>
      </c>
      <c r="C196" s="6" t="s">
        <v>378</v>
      </c>
      <c r="D196" s="7" t="s">
        <v>259</v>
      </c>
      <c r="E196" s="6" t="str">
        <f aca="false">IFERROR(INDEX('QAR Kodları'!$B:$B,MATCH(D196,'QAR Kodları'!$A:$A,0)),"KOD BULUNAMADI")</f>
        <v>Repatriation of Qatari investment abroad in debt securities</v>
      </c>
      <c r="F196" s="5" t="s">
        <v>27</v>
      </c>
      <c r="G196" s="6" t="s">
        <v>379</v>
      </c>
      <c r="H196" s="6" t="s">
        <v>368</v>
      </c>
    </row>
    <row r="197" customFormat="false" ht="23.85" hidden="false" customHeight="false" outlineLevel="0" collapsed="false">
      <c r="A197" s="4" t="str">
        <f aca="false">B197&amp;"-"&amp;D197</f>
        <v>7116-A6B02</v>
      </c>
      <c r="B197" s="5" t="n">
        <v>7116</v>
      </c>
      <c r="C197" s="6" t="s">
        <v>380</v>
      </c>
      <c r="D197" s="7" t="s">
        <v>259</v>
      </c>
      <c r="E197" s="6" t="str">
        <f aca="false">IFERROR(INDEX('QAR Kodları'!$B:$B,MATCH(D197,'QAR Kodları'!$A:$A,0)),"KOD BULUNAMADI")</f>
        <v>Repatriation of Qatari investment abroad in debt securities</v>
      </c>
      <c r="F197" s="5" t="s">
        <v>27</v>
      </c>
      <c r="G197" s="6" t="s">
        <v>379</v>
      </c>
      <c r="H197" s="6" t="s">
        <v>368</v>
      </c>
    </row>
    <row r="198" customFormat="false" ht="23.85" hidden="false" customHeight="false" outlineLevel="0" collapsed="false">
      <c r="A198" s="4" t="str">
        <f aca="false">B198&amp;"-"&amp;D198</f>
        <v>7118-A6B02</v>
      </c>
      <c r="B198" s="5" t="n">
        <v>7118</v>
      </c>
      <c r="C198" s="6" t="s">
        <v>381</v>
      </c>
      <c r="D198" s="7" t="s">
        <v>259</v>
      </c>
      <c r="E198" s="6" t="str">
        <f aca="false">IFERROR(INDEX('QAR Kodları'!$B:$B,MATCH(D198,'QAR Kodları'!$A:$A,0)),"KOD BULUNAMADI")</f>
        <v>Repatriation of Qatari investment abroad in debt securities</v>
      </c>
      <c r="F198" s="5" t="s">
        <v>27</v>
      </c>
      <c r="G198" s="6" t="s">
        <v>379</v>
      </c>
      <c r="H198" s="6" t="s">
        <v>368</v>
      </c>
    </row>
    <row r="199" customFormat="false" ht="23.85" hidden="false" customHeight="false" outlineLevel="0" collapsed="false">
      <c r="A199" s="4" t="str">
        <f aca="false">B199&amp;"-"&amp;D199</f>
        <v>7120-A6B02</v>
      </c>
      <c r="B199" s="5" t="n">
        <v>7120</v>
      </c>
      <c r="C199" s="6" t="s">
        <v>382</v>
      </c>
      <c r="D199" s="7" t="s">
        <v>259</v>
      </c>
      <c r="E199" s="6" t="str">
        <f aca="false">IFERROR(INDEX('QAR Kodları'!$B:$B,MATCH(D199,'QAR Kodları'!$A:$A,0)),"KOD BULUNAMADI")</f>
        <v>Repatriation of Qatari investment abroad in debt securities</v>
      </c>
      <c r="F199" s="5" t="s">
        <v>27</v>
      </c>
      <c r="G199" s="6" t="s">
        <v>379</v>
      </c>
      <c r="H199" s="6" t="s">
        <v>368</v>
      </c>
    </row>
    <row r="200" customFormat="false" ht="23.85" hidden="false" customHeight="false" outlineLevel="0" collapsed="false">
      <c r="A200" s="4" t="str">
        <f aca="false">B200&amp;"-"&amp;D200</f>
        <v>7122-A6B02</v>
      </c>
      <c r="B200" s="5" t="n">
        <v>7122</v>
      </c>
      <c r="C200" s="6" t="s">
        <v>383</v>
      </c>
      <c r="D200" s="7" t="s">
        <v>259</v>
      </c>
      <c r="E200" s="6" t="str">
        <f aca="false">IFERROR(INDEX('QAR Kodları'!$B:$B,MATCH(D200,'QAR Kodları'!$A:$A,0)),"KOD BULUNAMADI")</f>
        <v>Repatriation of Qatari investment abroad in debt securities</v>
      </c>
      <c r="F200" s="5" t="s">
        <v>27</v>
      </c>
      <c r="G200" s="6" t="s">
        <v>379</v>
      </c>
      <c r="H200" s="6" t="s">
        <v>368</v>
      </c>
    </row>
    <row r="201" customFormat="false" ht="23.85" hidden="false" customHeight="false" outlineLevel="0" collapsed="false">
      <c r="A201" s="4" t="str">
        <f aca="false">B201&amp;"-"&amp;D201</f>
        <v>7124-A6B02</v>
      </c>
      <c r="B201" s="5" t="n">
        <v>7124</v>
      </c>
      <c r="C201" s="6" t="s">
        <v>384</v>
      </c>
      <c r="D201" s="7" t="s">
        <v>259</v>
      </c>
      <c r="E201" s="6" t="str">
        <f aca="false">IFERROR(INDEX('QAR Kodları'!$B:$B,MATCH(D201,'QAR Kodları'!$A:$A,0)),"KOD BULUNAMADI")</f>
        <v>Repatriation of Qatari investment abroad in debt securities</v>
      </c>
      <c r="F201" s="5" t="s">
        <v>27</v>
      </c>
      <c r="G201" s="6" t="s">
        <v>379</v>
      </c>
      <c r="H201" s="6" t="s">
        <v>368</v>
      </c>
    </row>
    <row r="202" customFormat="false" ht="23.85" hidden="false" customHeight="false" outlineLevel="0" collapsed="false">
      <c r="A202" s="4" t="str">
        <f aca="false">B202&amp;"-"&amp;D202</f>
        <v>7126-A6B09</v>
      </c>
      <c r="B202" s="5" t="n">
        <v>7126</v>
      </c>
      <c r="C202" s="6" t="s">
        <v>385</v>
      </c>
      <c r="D202" s="7" t="s">
        <v>386</v>
      </c>
      <c r="E202" s="6" t="str">
        <f aca="false">IFERROR(INDEX('QAR Kodları'!$B:$B,MATCH(D202,'QAR Kodları'!$A:$A,0)),"KOD BULUNAMADI")</f>
        <v>Foreign portfolio investment in Qatar in equity shares</v>
      </c>
      <c r="F202" s="5" t="s">
        <v>32</v>
      </c>
      <c r="G202" s="6" t="s">
        <v>387</v>
      </c>
      <c r="H202" s="6" t="s">
        <v>388</v>
      </c>
    </row>
    <row r="203" customFormat="false" ht="23.85" hidden="false" customHeight="false" outlineLevel="0" collapsed="false">
      <c r="A203" s="4" t="str">
        <f aca="false">B203&amp;"-"&amp;D203</f>
        <v>7128-A6B09</v>
      </c>
      <c r="B203" s="5" t="n">
        <v>7128</v>
      </c>
      <c r="C203" s="6" t="s">
        <v>389</v>
      </c>
      <c r="D203" s="7" t="s">
        <v>386</v>
      </c>
      <c r="E203" s="6" t="str">
        <f aca="false">IFERROR(INDEX('QAR Kodları'!$B:$B,MATCH(D203,'QAR Kodları'!$A:$A,0)),"KOD BULUNAMADI")</f>
        <v>Foreign portfolio investment in Qatar in equity shares</v>
      </c>
      <c r="F203" s="5" t="s">
        <v>32</v>
      </c>
      <c r="G203" s="6" t="s">
        <v>387</v>
      </c>
      <c r="H203" s="6" t="s">
        <v>388</v>
      </c>
    </row>
    <row r="204" customFormat="false" ht="15" hidden="false" customHeight="false" outlineLevel="0" collapsed="false">
      <c r="A204" s="4" t="str">
        <f aca="false">B204&amp;"-"&amp;D204</f>
        <v>7130-A6B09</v>
      </c>
      <c r="B204" s="5" t="n">
        <v>7130</v>
      </c>
      <c r="C204" s="6" t="s">
        <v>390</v>
      </c>
      <c r="D204" s="7" t="s">
        <v>386</v>
      </c>
      <c r="E204" s="6" t="str">
        <f aca="false">IFERROR(INDEX('QAR Kodları'!$B:$B,MATCH(D204,'QAR Kodları'!$A:$A,0)),"KOD BULUNAMADI")</f>
        <v>Foreign portfolio investment in Qatar in equity shares</v>
      </c>
      <c r="F204" s="5" t="s">
        <v>27</v>
      </c>
      <c r="G204" s="6" t="s">
        <v>391</v>
      </c>
      <c r="H204" s="6" t="s">
        <v>392</v>
      </c>
    </row>
    <row r="205" customFormat="false" ht="15" hidden="false" customHeight="false" outlineLevel="0" collapsed="false">
      <c r="A205" s="4" t="str">
        <f aca="false">B205&amp;"-"&amp;D205</f>
        <v>7132-A6B09</v>
      </c>
      <c r="B205" s="5" t="n">
        <v>7132</v>
      </c>
      <c r="C205" s="6" t="s">
        <v>393</v>
      </c>
      <c r="D205" s="7" t="s">
        <v>386</v>
      </c>
      <c r="E205" s="6" t="str">
        <f aca="false">IFERROR(INDEX('QAR Kodları'!$B:$B,MATCH(D205,'QAR Kodları'!$A:$A,0)),"KOD BULUNAMADI")</f>
        <v>Foreign portfolio investment in Qatar in equity shares</v>
      </c>
      <c r="F205" s="5" t="s">
        <v>27</v>
      </c>
      <c r="G205" s="6" t="s">
        <v>391</v>
      </c>
      <c r="H205" s="6" t="s">
        <v>392</v>
      </c>
    </row>
    <row r="206" customFormat="false" ht="23.85" hidden="false" customHeight="false" outlineLevel="0" collapsed="false">
      <c r="A206" s="4" t="str">
        <f aca="false">B206&amp;"-"&amp;D206</f>
        <v>7134-A6B02</v>
      </c>
      <c r="B206" s="5" t="n">
        <v>7134</v>
      </c>
      <c r="C206" s="6" t="s">
        <v>394</v>
      </c>
      <c r="D206" s="7" t="s">
        <v>259</v>
      </c>
      <c r="E206" s="6" t="str">
        <f aca="false">IFERROR(INDEX('QAR Kodları'!$B:$B,MATCH(D206,'QAR Kodları'!$A:$A,0)),"KOD BULUNAMADI")</f>
        <v>Repatriation of Qatari investment abroad in debt securities</v>
      </c>
      <c r="F206" s="5" t="s">
        <v>27</v>
      </c>
      <c r="G206" s="6" t="s">
        <v>379</v>
      </c>
      <c r="H206" s="6" t="s">
        <v>368</v>
      </c>
    </row>
    <row r="207" customFormat="false" ht="23.85" hidden="false" customHeight="false" outlineLevel="0" collapsed="false">
      <c r="A207" s="4" t="str">
        <f aca="false">B207&amp;"-"&amp;D207</f>
        <v>7136-A6B02</v>
      </c>
      <c r="B207" s="5" t="n">
        <v>7136</v>
      </c>
      <c r="C207" s="6" t="s">
        <v>395</v>
      </c>
      <c r="D207" s="7" t="s">
        <v>259</v>
      </c>
      <c r="E207" s="6" t="str">
        <f aca="false">IFERROR(INDEX('QAR Kodları'!$B:$B,MATCH(D207,'QAR Kodları'!$A:$A,0)),"KOD BULUNAMADI")</f>
        <v>Repatriation of Qatari investment abroad in debt securities</v>
      </c>
      <c r="F207" s="5" t="s">
        <v>27</v>
      </c>
      <c r="G207" s="6" t="s">
        <v>379</v>
      </c>
      <c r="H207" s="6" t="s">
        <v>368</v>
      </c>
    </row>
    <row r="208" customFormat="false" ht="35.05" hidden="false" customHeight="false" outlineLevel="0" collapsed="false">
      <c r="A208" s="4" t="str">
        <f aca="false">B208&amp;"-"&amp;D208</f>
        <v>7138-A6C13</v>
      </c>
      <c r="B208" s="5" t="n">
        <v>7138</v>
      </c>
      <c r="C208" s="6" t="s">
        <v>396</v>
      </c>
      <c r="D208" s="7" t="s">
        <v>397</v>
      </c>
      <c r="E208" s="6" t="str">
        <f aca="false">IFERROR(INDEX('QAR Kodları'!$B:$B,MATCH(D208,'QAR Kodları'!$A:$A,0)),"KOD BULUNAMADI")</f>
        <v>Short-term loans with original maturity up to 1 year from non-residents to Qatar</v>
      </c>
      <c r="F208" s="5" t="s">
        <v>27</v>
      </c>
      <c r="G208" s="6" t="s">
        <v>398</v>
      </c>
      <c r="H208" s="6" t="s">
        <v>196</v>
      </c>
    </row>
    <row r="209" customFormat="false" ht="46.25" hidden="false" customHeight="false" outlineLevel="0" collapsed="false">
      <c r="A209" s="4" t="str">
        <f aca="false">B209&amp;"-"&amp;D209</f>
        <v>7140-A6C13</v>
      </c>
      <c r="B209" s="5" t="n">
        <v>7140</v>
      </c>
      <c r="C209" s="6" t="s">
        <v>399</v>
      </c>
      <c r="D209" s="7" t="s">
        <v>397</v>
      </c>
      <c r="E209" s="6" t="str">
        <f aca="false">IFERROR(INDEX('QAR Kodları'!$B:$B,MATCH(D209,'QAR Kodları'!$A:$A,0)),"KOD BULUNAMADI")</f>
        <v>Short-term loans with original maturity up to 1 year from non-residents to Qatar</v>
      </c>
      <c r="F209" s="5" t="s">
        <v>27</v>
      </c>
      <c r="G209" s="6" t="s">
        <v>398</v>
      </c>
      <c r="H209" s="6" t="s">
        <v>196</v>
      </c>
    </row>
    <row r="210" customFormat="false" ht="35.05" hidden="false" customHeight="false" outlineLevel="0" collapsed="false">
      <c r="A210" s="4" t="str">
        <f aca="false">B210&amp;"-"&amp;D210</f>
        <v>7142-A6C13</v>
      </c>
      <c r="B210" s="5" t="n">
        <v>7142</v>
      </c>
      <c r="C210" s="6" t="s">
        <v>400</v>
      </c>
      <c r="D210" s="7" t="s">
        <v>397</v>
      </c>
      <c r="E210" s="6" t="str">
        <f aca="false">IFERROR(INDEX('QAR Kodları'!$B:$B,MATCH(D210,'QAR Kodları'!$A:$A,0)),"KOD BULUNAMADI")</f>
        <v>Short-term loans with original maturity up to 1 year from non-residents to Qatar</v>
      </c>
      <c r="F210" s="5" t="s">
        <v>27</v>
      </c>
      <c r="G210" s="6" t="s">
        <v>398</v>
      </c>
      <c r="H210" s="6" t="s">
        <v>196</v>
      </c>
    </row>
    <row r="211" customFormat="false" ht="35.05" hidden="false" customHeight="false" outlineLevel="0" collapsed="false">
      <c r="A211" s="4" t="str">
        <f aca="false">B211&amp;"-"&amp;D211</f>
        <v>7144-A6C13</v>
      </c>
      <c r="B211" s="5" t="n">
        <v>7144</v>
      </c>
      <c r="C211" s="6" t="s">
        <v>401</v>
      </c>
      <c r="D211" s="7" t="s">
        <v>397</v>
      </c>
      <c r="E211" s="6" t="str">
        <f aca="false">IFERROR(INDEX('QAR Kodları'!$B:$B,MATCH(D211,'QAR Kodları'!$A:$A,0)),"KOD BULUNAMADI")</f>
        <v>Short-term loans with original maturity up to 1 year from non-residents to Qatar</v>
      </c>
      <c r="F211" s="5" t="s">
        <v>27</v>
      </c>
      <c r="G211" s="6" t="s">
        <v>398</v>
      </c>
      <c r="H211" s="6" t="s">
        <v>196</v>
      </c>
    </row>
    <row r="212" customFormat="false" ht="35.05" hidden="false" customHeight="false" outlineLevel="0" collapsed="false">
      <c r="A212" s="4" t="str">
        <f aca="false">B212&amp;"-"&amp;D212</f>
        <v>7146-A6C13</v>
      </c>
      <c r="B212" s="5" t="n">
        <v>7146</v>
      </c>
      <c r="C212" s="6" t="s">
        <v>402</v>
      </c>
      <c r="D212" s="7" t="s">
        <v>397</v>
      </c>
      <c r="E212" s="6" t="str">
        <f aca="false">IFERROR(INDEX('QAR Kodları'!$B:$B,MATCH(D212,'QAR Kodları'!$A:$A,0)),"KOD BULUNAMADI")</f>
        <v>Short-term loans with original maturity up to 1 year from non-residents to Qatar</v>
      </c>
      <c r="F212" s="5" t="s">
        <v>27</v>
      </c>
      <c r="G212" s="6" t="s">
        <v>398</v>
      </c>
      <c r="H212" s="6" t="s">
        <v>196</v>
      </c>
    </row>
    <row r="213" customFormat="false" ht="35.05" hidden="false" customHeight="false" outlineLevel="0" collapsed="false">
      <c r="A213" s="4" t="str">
        <f aca="false">B213&amp;"-"&amp;D213</f>
        <v>7148-A6C11</v>
      </c>
      <c r="B213" s="5" t="n">
        <v>7148</v>
      </c>
      <c r="C213" s="6" t="s">
        <v>403</v>
      </c>
      <c r="D213" s="7" t="s">
        <v>245</v>
      </c>
      <c r="E213" s="6" t="str">
        <f aca="false">IFERROR(INDEX('QAR Kodları'!$B:$B,MATCH(D213,'QAR Kodları'!$A:$A,0)),"KOD BULUNAMADI")</f>
        <v>Repayment of loans extended to non-residents</v>
      </c>
      <c r="F213" s="5" t="s">
        <v>27</v>
      </c>
      <c r="G213" s="6" t="s">
        <v>404</v>
      </c>
      <c r="H213" s="6" t="s">
        <v>196</v>
      </c>
    </row>
    <row r="214" customFormat="false" ht="35.05" hidden="false" customHeight="false" outlineLevel="0" collapsed="false">
      <c r="A214" s="4" t="str">
        <f aca="false">B214&amp;"-"&amp;D214</f>
        <v>7149-A3A03</v>
      </c>
      <c r="B214" s="5" t="n">
        <v>7149</v>
      </c>
      <c r="C214" s="6" t="s">
        <v>405</v>
      </c>
      <c r="D214" s="7" t="s">
        <v>200</v>
      </c>
      <c r="E214" s="6" t="str">
        <f aca="false">IFERROR(INDEX('QAR Kodları'!$B:$B,MATCH(D214,'QAR Kodları'!$A:$A,0)),"KOD BULUNAMADI")</f>
        <v>Inwards remittance towards interest on loans extended to non residents (st/mt/lt loans)</v>
      </c>
      <c r="F214" s="5" t="s">
        <v>27</v>
      </c>
      <c r="G214" s="6" t="s">
        <v>406</v>
      </c>
      <c r="H214" s="6" t="s">
        <v>196</v>
      </c>
    </row>
    <row r="215" customFormat="false" ht="46.25" hidden="false" customHeight="false" outlineLevel="0" collapsed="false">
      <c r="A215" s="4" t="str">
        <f aca="false">B215&amp;"-"&amp;D215</f>
        <v>7150-A6C11</v>
      </c>
      <c r="B215" s="5" t="n">
        <v>7150</v>
      </c>
      <c r="C215" s="6" t="s">
        <v>407</v>
      </c>
      <c r="D215" s="7" t="s">
        <v>245</v>
      </c>
      <c r="E215" s="6" t="str">
        <f aca="false">IFERROR(INDEX('QAR Kodları'!$B:$B,MATCH(D215,'QAR Kodları'!$A:$A,0)),"KOD BULUNAMADI")</f>
        <v>Repayment of loans extended to non-residents</v>
      </c>
      <c r="F215" s="5" t="s">
        <v>27</v>
      </c>
      <c r="G215" s="6" t="s">
        <v>404</v>
      </c>
      <c r="H215" s="6" t="s">
        <v>196</v>
      </c>
    </row>
    <row r="216" customFormat="false" ht="35.05" hidden="false" customHeight="false" outlineLevel="0" collapsed="false">
      <c r="A216" s="4" t="str">
        <f aca="false">B216&amp;"-"&amp;D216</f>
        <v>7151-A3A03</v>
      </c>
      <c r="B216" s="5" t="n">
        <v>7151</v>
      </c>
      <c r="C216" s="6" t="s">
        <v>408</v>
      </c>
      <c r="D216" s="7" t="s">
        <v>200</v>
      </c>
      <c r="E216" s="6" t="str">
        <f aca="false">IFERROR(INDEX('QAR Kodları'!$B:$B,MATCH(D216,'QAR Kodları'!$A:$A,0)),"KOD BULUNAMADI")</f>
        <v>Inwards remittance towards interest on loans extended to non residents (st/mt/lt loans)</v>
      </c>
      <c r="F216" s="5" t="s">
        <v>27</v>
      </c>
      <c r="G216" s="6" t="s">
        <v>406</v>
      </c>
      <c r="H216" s="6" t="s">
        <v>196</v>
      </c>
    </row>
    <row r="217" customFormat="false" ht="35.05" hidden="false" customHeight="false" outlineLevel="0" collapsed="false">
      <c r="A217" s="4" t="str">
        <f aca="false">B217&amp;"-"&amp;D217</f>
        <v>7152-A6C11</v>
      </c>
      <c r="B217" s="5" t="n">
        <v>7152</v>
      </c>
      <c r="C217" s="6" t="s">
        <v>409</v>
      </c>
      <c r="D217" s="7" t="s">
        <v>245</v>
      </c>
      <c r="E217" s="6" t="str">
        <f aca="false">IFERROR(INDEX('QAR Kodları'!$B:$B,MATCH(D217,'QAR Kodları'!$A:$A,0)),"KOD BULUNAMADI")</f>
        <v>Repayment of loans extended to non-residents</v>
      </c>
      <c r="F217" s="5" t="s">
        <v>27</v>
      </c>
      <c r="G217" s="6" t="s">
        <v>404</v>
      </c>
      <c r="H217" s="6" t="s">
        <v>196</v>
      </c>
    </row>
    <row r="218" customFormat="false" ht="23.85" hidden="false" customHeight="false" outlineLevel="0" collapsed="false">
      <c r="A218" s="4" t="str">
        <f aca="false">B218&amp;"-"&amp;D218</f>
        <v>7153-A3A03</v>
      </c>
      <c r="B218" s="5" t="n">
        <v>7153</v>
      </c>
      <c r="C218" s="6" t="s">
        <v>410</v>
      </c>
      <c r="D218" s="7" t="s">
        <v>200</v>
      </c>
      <c r="E218" s="6" t="str">
        <f aca="false">IFERROR(INDEX('QAR Kodları'!$B:$B,MATCH(D218,'QAR Kodları'!$A:$A,0)),"KOD BULUNAMADI")</f>
        <v>Inwards remittance towards interest on loans extended to non residents (st/mt/lt loans)</v>
      </c>
      <c r="F218" s="5" t="s">
        <v>27</v>
      </c>
      <c r="G218" s="6" t="s">
        <v>406</v>
      </c>
      <c r="H218" s="6" t="s">
        <v>196</v>
      </c>
    </row>
    <row r="219" customFormat="false" ht="35.05" hidden="false" customHeight="false" outlineLevel="0" collapsed="false">
      <c r="A219" s="4" t="str">
        <f aca="false">B219&amp;"-"&amp;D219</f>
        <v>7154-A6C11</v>
      </c>
      <c r="B219" s="5" t="n">
        <v>7154</v>
      </c>
      <c r="C219" s="6" t="s">
        <v>411</v>
      </c>
      <c r="D219" s="7" t="s">
        <v>245</v>
      </c>
      <c r="E219" s="6" t="str">
        <f aca="false">IFERROR(INDEX('QAR Kodları'!$B:$B,MATCH(D219,'QAR Kodları'!$A:$A,0)),"KOD BULUNAMADI")</f>
        <v>Repayment of loans extended to non-residents</v>
      </c>
      <c r="F219" s="5" t="s">
        <v>27</v>
      </c>
      <c r="G219" s="6" t="s">
        <v>404</v>
      </c>
      <c r="H219" s="6" t="s">
        <v>196</v>
      </c>
    </row>
    <row r="220" customFormat="false" ht="23.85" hidden="false" customHeight="false" outlineLevel="0" collapsed="false">
      <c r="A220" s="4" t="str">
        <f aca="false">B220&amp;"-"&amp;D220</f>
        <v>7155-A3A03</v>
      </c>
      <c r="B220" s="5" t="n">
        <v>7155</v>
      </c>
      <c r="C220" s="6" t="s">
        <v>412</v>
      </c>
      <c r="D220" s="7" t="s">
        <v>200</v>
      </c>
      <c r="E220" s="6" t="str">
        <f aca="false">IFERROR(INDEX('QAR Kodları'!$B:$B,MATCH(D220,'QAR Kodları'!$A:$A,0)),"KOD BULUNAMADI")</f>
        <v>Inwards remittance towards interest on loans extended to non residents (st/mt/lt loans)</v>
      </c>
      <c r="F220" s="5" t="s">
        <v>27</v>
      </c>
      <c r="G220" s="6" t="s">
        <v>406</v>
      </c>
      <c r="H220" s="6" t="s">
        <v>196</v>
      </c>
    </row>
    <row r="221" customFormat="false" ht="35.05" hidden="false" customHeight="false" outlineLevel="0" collapsed="false">
      <c r="A221" s="4" t="str">
        <f aca="false">B221&amp;"-"&amp;D221</f>
        <v>7156-A6C11</v>
      </c>
      <c r="B221" s="5" t="n">
        <v>7156</v>
      </c>
      <c r="C221" s="6" t="s">
        <v>413</v>
      </c>
      <c r="D221" s="7" t="s">
        <v>245</v>
      </c>
      <c r="E221" s="6" t="str">
        <f aca="false">IFERROR(INDEX('QAR Kodları'!$B:$B,MATCH(D221,'QAR Kodları'!$A:$A,0)),"KOD BULUNAMADI")</f>
        <v>Repayment of loans extended to non-residents</v>
      </c>
      <c r="F221" s="5" t="s">
        <v>27</v>
      </c>
      <c r="G221" s="6" t="s">
        <v>404</v>
      </c>
      <c r="H221" s="6" t="s">
        <v>196</v>
      </c>
    </row>
    <row r="222" customFormat="false" ht="23.85" hidden="false" customHeight="false" outlineLevel="0" collapsed="false">
      <c r="A222" s="4" t="str">
        <f aca="false">B222&amp;"-"&amp;D222</f>
        <v>7157-A3A03</v>
      </c>
      <c r="B222" s="5" t="n">
        <v>7157</v>
      </c>
      <c r="C222" s="6" t="s">
        <v>414</v>
      </c>
      <c r="D222" s="7" t="s">
        <v>200</v>
      </c>
      <c r="E222" s="6" t="str">
        <f aca="false">IFERROR(INDEX('QAR Kodları'!$B:$B,MATCH(D222,'QAR Kodları'!$A:$A,0)),"KOD BULUNAMADI")</f>
        <v>Inwards remittance towards interest on loans extended to non residents (st/mt/lt loans)</v>
      </c>
      <c r="F222" s="5" t="s">
        <v>27</v>
      </c>
      <c r="G222" s="6" t="s">
        <v>406</v>
      </c>
      <c r="H222" s="6" t="s">
        <v>196</v>
      </c>
    </row>
    <row r="223" customFormat="false" ht="23.85" hidden="false" customHeight="false" outlineLevel="0" collapsed="false">
      <c r="A223" s="4" t="str">
        <f aca="false">B223&amp;"-"&amp;D223</f>
        <v>7300-A6C13</v>
      </c>
      <c r="B223" s="5" t="n">
        <v>7300</v>
      </c>
      <c r="C223" s="6" t="s">
        <v>415</v>
      </c>
      <c r="D223" s="7" t="s">
        <v>397</v>
      </c>
      <c r="E223" s="6" t="str">
        <f aca="false">IFERROR(INDEX('QAR Kodları'!$B:$B,MATCH(D223,'QAR Kodları'!$A:$A,0)),"KOD BULUNAMADI")</f>
        <v>Short-term loans with original maturity up to 1 year from non-residents to Qatar</v>
      </c>
      <c r="F223" s="5" t="s">
        <v>32</v>
      </c>
      <c r="G223" s="6" t="s">
        <v>416</v>
      </c>
      <c r="H223" s="6" t="s">
        <v>247</v>
      </c>
    </row>
    <row r="224" customFormat="false" ht="23.85" hidden="false" customHeight="false" outlineLevel="0" collapsed="false">
      <c r="A224" s="4" t="str">
        <f aca="false">B224&amp;"-"&amp;D224</f>
        <v>7301-A6C12</v>
      </c>
      <c r="B224" s="5" t="n">
        <v>7301</v>
      </c>
      <c r="C224" s="6" t="s">
        <v>417</v>
      </c>
      <c r="D224" s="7" t="s">
        <v>418</v>
      </c>
      <c r="E224" s="6" t="str">
        <f aca="false">IFERROR(INDEX('QAR Kodları'!$B:$B,MATCH(D224,'QAR Kodları'!$A:$A,0)),"KOD BULUNAMADI")</f>
        <v>Loans from non-residents to Qatar</v>
      </c>
      <c r="F224" s="5" t="s">
        <v>32</v>
      </c>
      <c r="G224" s="6" t="s">
        <v>419</v>
      </c>
      <c r="H224" s="6" t="s">
        <v>247</v>
      </c>
    </row>
    <row r="225" customFormat="false" ht="35.05" hidden="false" customHeight="false" outlineLevel="0" collapsed="false">
      <c r="A225" s="4" t="str">
        <f aca="false">B225&amp;"-"&amp;D225</f>
        <v>7302-A6C13</v>
      </c>
      <c r="B225" s="5" t="n">
        <v>7302</v>
      </c>
      <c r="C225" s="6" t="s">
        <v>420</v>
      </c>
      <c r="D225" s="7" t="s">
        <v>397</v>
      </c>
      <c r="E225" s="6" t="str">
        <f aca="false">IFERROR(INDEX('QAR Kodları'!$B:$B,MATCH(D225,'QAR Kodları'!$A:$A,0)),"KOD BULUNAMADI")</f>
        <v>Short-term loans with original maturity up to 1 year from non-residents to Qatar</v>
      </c>
      <c r="F225" s="5" t="s">
        <v>32</v>
      </c>
      <c r="G225" s="6" t="s">
        <v>416</v>
      </c>
      <c r="H225" s="6" t="s">
        <v>247</v>
      </c>
    </row>
    <row r="226" customFormat="false" ht="35.05" hidden="false" customHeight="false" outlineLevel="0" collapsed="false">
      <c r="A226" s="4" t="str">
        <f aca="false">B226&amp;"-"&amp;D226</f>
        <v>7303-A6C12</v>
      </c>
      <c r="B226" s="5" t="n">
        <v>7303</v>
      </c>
      <c r="C226" s="6" t="s">
        <v>421</v>
      </c>
      <c r="D226" s="7" t="s">
        <v>418</v>
      </c>
      <c r="E226" s="6" t="str">
        <f aca="false">IFERROR(INDEX('QAR Kodları'!$B:$B,MATCH(D226,'QAR Kodları'!$A:$A,0)),"KOD BULUNAMADI")</f>
        <v>Loans from non-residents to Qatar</v>
      </c>
      <c r="F226" s="5" t="s">
        <v>32</v>
      </c>
      <c r="G226" s="6" t="s">
        <v>419</v>
      </c>
      <c r="H226" s="6" t="s">
        <v>247</v>
      </c>
    </row>
    <row r="227" customFormat="false" ht="46.25" hidden="false" customHeight="false" outlineLevel="0" collapsed="false">
      <c r="A227" s="4" t="str">
        <f aca="false">B227&amp;"-"&amp;D227</f>
        <v>7304-A6C13</v>
      </c>
      <c r="B227" s="5" t="n">
        <v>7304</v>
      </c>
      <c r="C227" s="6" t="s">
        <v>422</v>
      </c>
      <c r="D227" s="7" t="s">
        <v>397</v>
      </c>
      <c r="E227" s="6" t="str">
        <f aca="false">IFERROR(INDEX('QAR Kodları'!$B:$B,MATCH(D227,'QAR Kodları'!$A:$A,0)),"KOD BULUNAMADI")</f>
        <v>Short-term loans with original maturity up to 1 year from non-residents to Qatar</v>
      </c>
      <c r="F227" s="5" t="s">
        <v>27</v>
      </c>
      <c r="G227" s="6" t="s">
        <v>423</v>
      </c>
      <c r="H227" s="6" t="s">
        <v>247</v>
      </c>
    </row>
    <row r="228" customFormat="false" ht="46.25" hidden="false" customHeight="false" outlineLevel="0" collapsed="false">
      <c r="A228" s="4" t="str">
        <f aca="false">B228&amp;"-"&amp;D228</f>
        <v>7305-A6C12</v>
      </c>
      <c r="B228" s="5" t="n">
        <v>7305</v>
      </c>
      <c r="C228" s="6" t="s">
        <v>424</v>
      </c>
      <c r="D228" s="7" t="s">
        <v>418</v>
      </c>
      <c r="E228" s="6" t="str">
        <f aca="false">IFERROR(INDEX('QAR Kodları'!$B:$B,MATCH(D228,'QAR Kodları'!$A:$A,0)),"KOD BULUNAMADI")</f>
        <v>Loans from non-residents to Qatar</v>
      </c>
      <c r="F228" s="5" t="s">
        <v>27</v>
      </c>
      <c r="G228" s="6" t="s">
        <v>425</v>
      </c>
      <c r="H228" s="6" t="s">
        <v>247</v>
      </c>
    </row>
    <row r="229" customFormat="false" ht="35.05" hidden="false" customHeight="false" outlineLevel="0" collapsed="false">
      <c r="A229" s="4" t="str">
        <f aca="false">B229&amp;"-"&amp;D229</f>
        <v>7306-A6C13</v>
      </c>
      <c r="B229" s="5" t="n">
        <v>7306</v>
      </c>
      <c r="C229" s="6" t="s">
        <v>426</v>
      </c>
      <c r="D229" s="7" t="s">
        <v>397</v>
      </c>
      <c r="E229" s="6" t="str">
        <f aca="false">IFERROR(INDEX('QAR Kodları'!$B:$B,MATCH(D229,'QAR Kodları'!$A:$A,0)),"KOD BULUNAMADI")</f>
        <v>Short-term loans with original maturity up to 1 year from non-residents to Qatar</v>
      </c>
      <c r="F229" s="5" t="s">
        <v>32</v>
      </c>
      <c r="G229" s="6" t="s">
        <v>416</v>
      </c>
      <c r="H229" s="6" t="s">
        <v>247</v>
      </c>
    </row>
    <row r="230" customFormat="false" ht="35.05" hidden="false" customHeight="false" outlineLevel="0" collapsed="false">
      <c r="A230" s="4" t="str">
        <f aca="false">B230&amp;"-"&amp;D230</f>
        <v>7307-A6C12</v>
      </c>
      <c r="B230" s="5" t="n">
        <v>7307</v>
      </c>
      <c r="C230" s="6" t="s">
        <v>427</v>
      </c>
      <c r="D230" s="7" t="s">
        <v>418</v>
      </c>
      <c r="E230" s="6" t="str">
        <f aca="false">IFERROR(INDEX('QAR Kodları'!$B:$B,MATCH(D230,'QAR Kodları'!$A:$A,0)),"KOD BULUNAMADI")</f>
        <v>Loans from non-residents to Qatar</v>
      </c>
      <c r="F230" s="5" t="s">
        <v>32</v>
      </c>
      <c r="G230" s="6" t="s">
        <v>419</v>
      </c>
      <c r="H230" s="6" t="s">
        <v>247</v>
      </c>
    </row>
    <row r="231" customFormat="false" ht="23.85" hidden="false" customHeight="false" outlineLevel="0" collapsed="false">
      <c r="A231" s="4" t="str">
        <f aca="false">B231&amp;"-"&amp;D231</f>
        <v>7308-A6C13</v>
      </c>
      <c r="B231" s="5" t="n">
        <v>7308</v>
      </c>
      <c r="C231" s="6" t="s">
        <v>428</v>
      </c>
      <c r="D231" s="7" t="s">
        <v>397</v>
      </c>
      <c r="E231" s="6" t="str">
        <f aca="false">IFERROR(INDEX('QAR Kodları'!$B:$B,MATCH(D231,'QAR Kodları'!$A:$A,0)),"KOD BULUNAMADI")</f>
        <v>Short-term loans with original maturity up to 1 year from non-residents to Qatar</v>
      </c>
      <c r="F231" s="5" t="s">
        <v>32</v>
      </c>
      <c r="G231" s="6" t="s">
        <v>416</v>
      </c>
      <c r="H231" s="6" t="s">
        <v>247</v>
      </c>
    </row>
    <row r="232" customFormat="false" ht="23.85" hidden="false" customHeight="false" outlineLevel="0" collapsed="false">
      <c r="A232" s="4" t="str">
        <f aca="false">B232&amp;"-"&amp;D232</f>
        <v>7309-A6C12</v>
      </c>
      <c r="B232" s="5" t="n">
        <v>7309</v>
      </c>
      <c r="C232" s="6" t="s">
        <v>429</v>
      </c>
      <c r="D232" s="7" t="s">
        <v>418</v>
      </c>
      <c r="E232" s="6" t="str">
        <f aca="false">IFERROR(INDEX('QAR Kodları'!$B:$B,MATCH(D232,'QAR Kodları'!$A:$A,0)),"KOD BULUNAMADI")</f>
        <v>Loans from non-residents to Qatar</v>
      </c>
      <c r="F232" s="5" t="s">
        <v>32</v>
      </c>
      <c r="G232" s="6" t="s">
        <v>419</v>
      </c>
      <c r="H232" s="6" t="s">
        <v>247</v>
      </c>
    </row>
    <row r="233" customFormat="false" ht="23.85" hidden="false" customHeight="false" outlineLevel="0" collapsed="false">
      <c r="A233" s="4" t="str">
        <f aca="false">B233&amp;"-"&amp;D233</f>
        <v>7310-A6C13</v>
      </c>
      <c r="B233" s="5" t="n">
        <v>7310</v>
      </c>
      <c r="C233" s="6" t="s">
        <v>430</v>
      </c>
      <c r="D233" s="7" t="s">
        <v>397</v>
      </c>
      <c r="E233" s="6" t="str">
        <f aca="false">IFERROR(INDEX('QAR Kodları'!$B:$B,MATCH(D233,'QAR Kodları'!$A:$A,0)),"KOD BULUNAMADI")</f>
        <v>Short-term loans with original maturity up to 1 year from non-residents to Qatar</v>
      </c>
      <c r="F233" s="5" t="s">
        <v>32</v>
      </c>
      <c r="G233" s="6" t="s">
        <v>416</v>
      </c>
      <c r="H233" s="6" t="s">
        <v>247</v>
      </c>
    </row>
    <row r="234" customFormat="false" ht="23.85" hidden="false" customHeight="false" outlineLevel="0" collapsed="false">
      <c r="A234" s="4" t="str">
        <f aca="false">B234&amp;"-"&amp;D234</f>
        <v>7311-A6C12</v>
      </c>
      <c r="B234" s="5" t="n">
        <v>7311</v>
      </c>
      <c r="C234" s="6" t="s">
        <v>431</v>
      </c>
      <c r="D234" s="7" t="s">
        <v>418</v>
      </c>
      <c r="E234" s="6" t="str">
        <f aca="false">IFERROR(INDEX('QAR Kodları'!$B:$B,MATCH(D234,'QAR Kodları'!$A:$A,0)),"KOD BULUNAMADI")</f>
        <v>Loans from non-residents to Qatar</v>
      </c>
      <c r="F234" s="5" t="s">
        <v>32</v>
      </c>
      <c r="G234" s="6" t="s">
        <v>419</v>
      </c>
      <c r="H234" s="6" t="s">
        <v>247</v>
      </c>
    </row>
    <row r="235" customFormat="false" ht="46.25" hidden="false" customHeight="false" outlineLevel="0" collapsed="false">
      <c r="A235" s="4" t="str">
        <f aca="false">B235&amp;"-"&amp;D235</f>
        <v>7312-A6C13</v>
      </c>
      <c r="B235" s="5" t="n">
        <v>7312</v>
      </c>
      <c r="C235" s="6" t="s">
        <v>432</v>
      </c>
      <c r="D235" s="7" t="s">
        <v>397</v>
      </c>
      <c r="E235" s="6" t="str">
        <f aca="false">IFERROR(INDEX('QAR Kodları'!$B:$B,MATCH(D235,'QAR Kodları'!$A:$A,0)),"KOD BULUNAMADI")</f>
        <v>Short-term loans with original maturity up to 1 year from non-residents to Qatar</v>
      </c>
      <c r="F235" s="5" t="s">
        <v>27</v>
      </c>
      <c r="G235" s="6" t="s">
        <v>423</v>
      </c>
      <c r="H235" s="6" t="s">
        <v>247</v>
      </c>
    </row>
    <row r="236" customFormat="false" ht="46.25" hidden="false" customHeight="false" outlineLevel="0" collapsed="false">
      <c r="A236" s="4" t="str">
        <f aca="false">B236&amp;"-"&amp;D236</f>
        <v>7313-A6C12</v>
      </c>
      <c r="B236" s="5" t="n">
        <v>7313</v>
      </c>
      <c r="C236" s="6" t="s">
        <v>433</v>
      </c>
      <c r="D236" s="7" t="s">
        <v>418</v>
      </c>
      <c r="E236" s="6" t="str">
        <f aca="false">IFERROR(INDEX('QAR Kodları'!$B:$B,MATCH(D236,'QAR Kodları'!$A:$A,0)),"KOD BULUNAMADI")</f>
        <v>Loans from non-residents to Qatar</v>
      </c>
      <c r="F236" s="5" t="s">
        <v>27</v>
      </c>
      <c r="G236" s="6" t="s">
        <v>425</v>
      </c>
      <c r="H236" s="6" t="s">
        <v>247</v>
      </c>
    </row>
    <row r="237" customFormat="false" ht="23.85" hidden="false" customHeight="false" outlineLevel="0" collapsed="false">
      <c r="A237" s="4" t="str">
        <f aca="false">B237&amp;"-"&amp;D237</f>
        <v>7314-A6C13</v>
      </c>
      <c r="B237" s="5" t="n">
        <v>7314</v>
      </c>
      <c r="C237" s="6" t="s">
        <v>434</v>
      </c>
      <c r="D237" s="7" t="s">
        <v>397</v>
      </c>
      <c r="E237" s="6" t="str">
        <f aca="false">IFERROR(INDEX('QAR Kodları'!$B:$B,MATCH(D237,'QAR Kodları'!$A:$A,0)),"KOD BULUNAMADI")</f>
        <v>Short-term loans with original maturity up to 1 year from non-residents to Qatar</v>
      </c>
      <c r="F237" s="5" t="s">
        <v>27</v>
      </c>
      <c r="G237" s="6" t="s">
        <v>423</v>
      </c>
      <c r="H237" s="6" t="s">
        <v>247</v>
      </c>
    </row>
    <row r="238" customFormat="false" ht="23.85" hidden="false" customHeight="false" outlineLevel="0" collapsed="false">
      <c r="A238" s="4" t="str">
        <f aca="false">B238&amp;"-"&amp;D238</f>
        <v>7315-A6C12</v>
      </c>
      <c r="B238" s="5" t="n">
        <v>7315</v>
      </c>
      <c r="C238" s="6" t="s">
        <v>435</v>
      </c>
      <c r="D238" s="7" t="s">
        <v>418</v>
      </c>
      <c r="E238" s="6" t="str">
        <f aca="false">IFERROR(INDEX('QAR Kodları'!$B:$B,MATCH(D238,'QAR Kodları'!$A:$A,0)),"KOD BULUNAMADI")</f>
        <v>Loans from non-residents to Qatar</v>
      </c>
      <c r="F238" s="5" t="s">
        <v>27</v>
      </c>
      <c r="G238" s="6" t="s">
        <v>425</v>
      </c>
      <c r="H238" s="6" t="s">
        <v>247</v>
      </c>
    </row>
    <row r="239" customFormat="false" ht="23.85" hidden="false" customHeight="false" outlineLevel="0" collapsed="false">
      <c r="A239" s="4" t="str">
        <f aca="false">B239&amp;"-"&amp;D239</f>
        <v>7316-A6C13</v>
      </c>
      <c r="B239" s="5" t="n">
        <v>7316</v>
      </c>
      <c r="C239" s="6" t="s">
        <v>436</v>
      </c>
      <c r="D239" s="7" t="s">
        <v>397</v>
      </c>
      <c r="E239" s="6" t="str">
        <f aca="false">IFERROR(INDEX('QAR Kodları'!$B:$B,MATCH(D239,'QAR Kodları'!$A:$A,0)),"KOD BULUNAMADI")</f>
        <v>Short-term loans with original maturity up to 1 year from non-residents to Qatar</v>
      </c>
      <c r="F239" s="5" t="s">
        <v>27</v>
      </c>
      <c r="G239" s="6" t="s">
        <v>423</v>
      </c>
      <c r="H239" s="6" t="s">
        <v>247</v>
      </c>
    </row>
    <row r="240" customFormat="false" ht="23.85" hidden="false" customHeight="false" outlineLevel="0" collapsed="false">
      <c r="A240" s="4" t="str">
        <f aca="false">B240&amp;"-"&amp;D240</f>
        <v>7317-A6C12</v>
      </c>
      <c r="B240" s="5" t="n">
        <v>7317</v>
      </c>
      <c r="C240" s="6" t="s">
        <v>437</v>
      </c>
      <c r="D240" s="7" t="s">
        <v>418</v>
      </c>
      <c r="E240" s="6" t="str">
        <f aca="false">IFERROR(INDEX('QAR Kodları'!$B:$B,MATCH(D240,'QAR Kodları'!$A:$A,0)),"KOD BULUNAMADI")</f>
        <v>Loans from non-residents to Qatar</v>
      </c>
      <c r="F240" s="5" t="s">
        <v>27</v>
      </c>
      <c r="G240" s="6" t="s">
        <v>425</v>
      </c>
      <c r="H240" s="6" t="s">
        <v>247</v>
      </c>
    </row>
    <row r="241" customFormat="false" ht="23.85" hidden="false" customHeight="false" outlineLevel="0" collapsed="false">
      <c r="A241" s="4" t="str">
        <f aca="false">B241&amp;"-"&amp;D241</f>
        <v>7320-A6C13</v>
      </c>
      <c r="B241" s="5" t="n">
        <v>7320</v>
      </c>
      <c r="C241" s="6" t="s">
        <v>438</v>
      </c>
      <c r="D241" s="7" t="s">
        <v>397</v>
      </c>
      <c r="E241" s="6" t="str">
        <f aca="false">IFERROR(INDEX('QAR Kodları'!$B:$B,MATCH(D241,'QAR Kodları'!$A:$A,0)),"KOD BULUNAMADI")</f>
        <v>Short-term loans with original maturity up to 1 year from non-residents to Qatar</v>
      </c>
      <c r="F241" s="5" t="s">
        <v>32</v>
      </c>
      <c r="G241" s="6" t="s">
        <v>416</v>
      </c>
      <c r="H241" s="6" t="s">
        <v>247</v>
      </c>
    </row>
    <row r="242" customFormat="false" ht="23.85" hidden="false" customHeight="false" outlineLevel="0" collapsed="false">
      <c r="A242" s="4" t="str">
        <f aca="false">B242&amp;"-"&amp;D242</f>
        <v>7330-A6A07</v>
      </c>
      <c r="B242" s="5" t="n">
        <v>7330</v>
      </c>
      <c r="C242" s="6" t="s">
        <v>439</v>
      </c>
      <c r="D242" s="7" t="s">
        <v>440</v>
      </c>
      <c r="E242" s="6" t="str">
        <f aca="false">IFERROR(INDEX('QAR Kodları'!$B:$B,MATCH(D242,'QAR Kodları'!$A:$A,0)),"KOD BULUNAMADI")</f>
        <v>Foreign direct investment in Qatar in debt securities including debt funds</v>
      </c>
      <c r="F242" s="5" t="s">
        <v>32</v>
      </c>
      <c r="G242" s="6" t="s">
        <v>441</v>
      </c>
      <c r="H242" s="6" t="s">
        <v>247</v>
      </c>
    </row>
    <row r="243" customFormat="false" ht="23.85" hidden="false" customHeight="false" outlineLevel="0" collapsed="false">
      <c r="A243" s="4" t="str">
        <f aca="false">B243&amp;"-"&amp;D243</f>
        <v>7331-A6C12</v>
      </c>
      <c r="B243" s="5" t="n">
        <v>7331</v>
      </c>
      <c r="C243" s="6" t="s">
        <v>442</v>
      </c>
      <c r="D243" s="7" t="s">
        <v>418</v>
      </c>
      <c r="E243" s="6" t="str">
        <f aca="false">IFERROR(INDEX('QAR Kodları'!$B:$B,MATCH(D243,'QAR Kodları'!$A:$A,0)),"KOD BULUNAMADI")</f>
        <v>Loans from non-residents to Qatar</v>
      </c>
      <c r="F243" s="5" t="s">
        <v>27</v>
      </c>
      <c r="G243" s="6" t="s">
        <v>443</v>
      </c>
      <c r="H243" s="6" t="s">
        <v>247</v>
      </c>
    </row>
    <row r="244" customFormat="false" ht="35.05" hidden="false" customHeight="false" outlineLevel="0" collapsed="false">
      <c r="A244" s="4" t="str">
        <f aca="false">B244&amp;"-"&amp;D244</f>
        <v>7332-A6C12</v>
      </c>
      <c r="B244" s="5" t="n">
        <v>7332</v>
      </c>
      <c r="C244" s="6" t="s">
        <v>444</v>
      </c>
      <c r="D244" s="7" t="s">
        <v>418</v>
      </c>
      <c r="E244" s="6" t="str">
        <f aca="false">IFERROR(INDEX('QAR Kodları'!$B:$B,MATCH(D244,'QAR Kodları'!$A:$A,0)),"KOD BULUNAMADI")</f>
        <v>Loans from non-residents to Qatar</v>
      </c>
      <c r="F244" s="5" t="s">
        <v>27</v>
      </c>
      <c r="G244" s="6" t="s">
        <v>443</v>
      </c>
      <c r="H244" s="6" t="s">
        <v>247</v>
      </c>
    </row>
    <row r="245" customFormat="false" ht="46.25" hidden="false" customHeight="false" outlineLevel="0" collapsed="false">
      <c r="A245" s="4" t="str">
        <f aca="false">B245&amp;"-"&amp;D245</f>
        <v>7500-A4A01</v>
      </c>
      <c r="B245" s="5" t="n">
        <v>7500</v>
      </c>
      <c r="C245" s="6" t="s">
        <v>445</v>
      </c>
      <c r="D245" s="7" t="s">
        <v>229</v>
      </c>
      <c r="E245" s="6" t="str">
        <f aca="false">IFERROR(INDEX('QAR Kodları'!$B:$B,MATCH(D245,'QAR Kodları'!$A:$A,0)),"KOD BULUNAMADI")</f>
        <v>Inward remittance from the Qatari non residents towards family maintenance and savings</v>
      </c>
      <c r="F245" s="5" t="s">
        <v>27</v>
      </c>
      <c r="G245" s="6" t="s">
        <v>446</v>
      </c>
      <c r="H245" s="6" t="s">
        <v>447</v>
      </c>
    </row>
    <row r="246" customFormat="false" ht="46.25" hidden="false" customHeight="false" outlineLevel="0" collapsed="false">
      <c r="A246" s="4" t="str">
        <f aca="false">B246&amp;"-"&amp;D246</f>
        <v>7501-A4A01</v>
      </c>
      <c r="B246" s="5" t="n">
        <v>7501</v>
      </c>
      <c r="C246" s="6" t="s">
        <v>448</v>
      </c>
      <c r="D246" s="7" t="s">
        <v>229</v>
      </c>
      <c r="E246" s="6" t="str">
        <f aca="false">IFERROR(INDEX('QAR Kodları'!$B:$B,MATCH(D246,'QAR Kodları'!$A:$A,0)),"KOD BULUNAMADI")</f>
        <v>Inward remittance from the Qatari non residents towards family maintenance and savings</v>
      </c>
      <c r="F246" s="5" t="s">
        <v>23</v>
      </c>
      <c r="G246" s="6" t="s">
        <v>449</v>
      </c>
      <c r="H246" s="6" t="s">
        <v>447</v>
      </c>
    </row>
    <row r="247" customFormat="false" ht="46.25" hidden="false" customHeight="false" outlineLevel="0" collapsed="false">
      <c r="A247" s="4" t="str">
        <f aca="false">B247&amp;"-"&amp;D247</f>
        <v>7502-A4A01</v>
      </c>
      <c r="B247" s="5" t="n">
        <v>7502</v>
      </c>
      <c r="C247" s="6" t="s">
        <v>450</v>
      </c>
      <c r="D247" s="7" t="s">
        <v>229</v>
      </c>
      <c r="E247" s="6" t="str">
        <f aca="false">IFERROR(INDEX('QAR Kodları'!$B:$B,MATCH(D247,'QAR Kodları'!$A:$A,0)),"KOD BULUNAMADI")</f>
        <v>Inward remittance from the Qatari non residents towards family maintenance and savings</v>
      </c>
      <c r="F247" s="5" t="s">
        <v>27</v>
      </c>
      <c r="G247" s="6" t="s">
        <v>446</v>
      </c>
      <c r="H247" s="6" t="s">
        <v>447</v>
      </c>
    </row>
    <row r="248" customFormat="false" ht="46.25" hidden="false" customHeight="false" outlineLevel="0" collapsed="false">
      <c r="A248" s="4" t="str">
        <f aca="false">B248&amp;"-"&amp;D248</f>
        <v>7503-A6C14</v>
      </c>
      <c r="B248" s="5" t="n">
        <v>7503</v>
      </c>
      <c r="C248" s="6" t="s">
        <v>451</v>
      </c>
      <c r="D248" s="7" t="s">
        <v>452</v>
      </c>
      <c r="E248" s="6" t="str">
        <f aca="false">IFERROR(INDEX('QAR Kodları'!$B:$B,MATCH(D248,'QAR Kodları'!$A:$A,0)),"KOD BULUNAMADI")</f>
        <v>Receipts on account of non-residents deposits</v>
      </c>
      <c r="F248" s="5" t="s">
        <v>23</v>
      </c>
      <c r="G248" s="6" t="s">
        <v>453</v>
      </c>
      <c r="H248" s="6" t="s">
        <v>447</v>
      </c>
    </row>
    <row r="249" customFormat="false" ht="46.25" hidden="false" customHeight="false" outlineLevel="0" collapsed="false">
      <c r="A249" s="4" t="str">
        <f aca="false">B249&amp;"-"&amp;D249</f>
        <v>7504-A6C14</v>
      </c>
      <c r="B249" s="5" t="n">
        <v>7504</v>
      </c>
      <c r="C249" s="6" t="s">
        <v>454</v>
      </c>
      <c r="D249" s="7" t="s">
        <v>452</v>
      </c>
      <c r="E249" s="6" t="str">
        <f aca="false">IFERROR(INDEX('QAR Kodları'!$B:$B,MATCH(D249,'QAR Kodları'!$A:$A,0)),"KOD BULUNAMADI")</f>
        <v>Receipts on account of non-residents deposits</v>
      </c>
      <c r="F249" s="5" t="s">
        <v>23</v>
      </c>
      <c r="G249" s="6" t="s">
        <v>453</v>
      </c>
      <c r="H249" s="6" t="s">
        <v>447</v>
      </c>
    </row>
    <row r="250" customFormat="false" ht="23.85" hidden="false" customHeight="false" outlineLevel="0" collapsed="false">
      <c r="A250" s="4" t="str">
        <f aca="false">B250&amp;"-"&amp;D250</f>
        <v>7510-A6C14</v>
      </c>
      <c r="B250" s="5" t="n">
        <v>7510</v>
      </c>
      <c r="C250" s="6" t="s">
        <v>455</v>
      </c>
      <c r="D250" s="7" t="s">
        <v>452</v>
      </c>
      <c r="E250" s="6" t="str">
        <f aca="false">IFERROR(INDEX('QAR Kodları'!$B:$B,MATCH(D250,'QAR Kodları'!$A:$A,0)),"KOD BULUNAMADI")</f>
        <v>Receipts on account of non-residents deposits</v>
      </c>
      <c r="F250" s="5" t="s">
        <v>27</v>
      </c>
      <c r="G250" s="6" t="s">
        <v>456</v>
      </c>
      <c r="H250" s="6" t="s">
        <v>457</v>
      </c>
    </row>
    <row r="251" customFormat="false" ht="15" hidden="false" customHeight="false" outlineLevel="0" collapsed="false">
      <c r="A251" s="4" t="str">
        <f aca="false">B251&amp;"-"&amp;D251</f>
        <v>7512-A6C15</v>
      </c>
      <c r="B251" s="5" t="n">
        <v>7512</v>
      </c>
      <c r="C251" s="6" t="s">
        <v>458</v>
      </c>
      <c r="D251" s="7" t="s">
        <v>459</v>
      </c>
      <c r="E251" s="6" t="str">
        <f aca="false">IFERROR(INDEX('QAR Kodları'!$B:$B,MATCH(D251,'QAR Kodları'!$A:$A,0)),"KOD BULUNAMADI")</f>
        <v>Receipts from bank own account abroad</v>
      </c>
      <c r="F251" s="5" t="s">
        <v>27</v>
      </c>
      <c r="G251" s="6" t="s">
        <v>460</v>
      </c>
      <c r="H251" s="6" t="s">
        <v>461</v>
      </c>
    </row>
    <row r="252" customFormat="false" ht="15" hidden="false" customHeight="false" outlineLevel="0" collapsed="false">
      <c r="A252" s="4" t="str">
        <f aca="false">B252&amp;"-"&amp;D252</f>
        <v>7513-A6C15</v>
      </c>
      <c r="B252" s="5" t="n">
        <v>7513</v>
      </c>
      <c r="C252" s="6" t="s">
        <v>462</v>
      </c>
      <c r="D252" s="7" t="s">
        <v>459</v>
      </c>
      <c r="E252" s="6" t="str">
        <f aca="false">IFERROR(INDEX('QAR Kodları'!$B:$B,MATCH(D252,'QAR Kodları'!$A:$A,0)),"KOD BULUNAMADI")</f>
        <v>Receipts from bank own account abroad</v>
      </c>
      <c r="F252" s="5" t="s">
        <v>27</v>
      </c>
      <c r="G252" s="6" t="s">
        <v>460</v>
      </c>
      <c r="H252" s="6" t="s">
        <v>461</v>
      </c>
    </row>
    <row r="253" customFormat="false" ht="23.85" hidden="false" customHeight="false" outlineLevel="0" collapsed="false">
      <c r="A253" s="4" t="str">
        <f aca="false">B253&amp;"-"&amp;D253</f>
        <v>7514-A6C15</v>
      </c>
      <c r="B253" s="5" t="n">
        <v>7514</v>
      </c>
      <c r="C253" s="6" t="s">
        <v>463</v>
      </c>
      <c r="D253" s="7" t="s">
        <v>459</v>
      </c>
      <c r="E253" s="6" t="str">
        <f aca="false">IFERROR(INDEX('QAR Kodları'!$B:$B,MATCH(D253,'QAR Kodları'!$A:$A,0)),"KOD BULUNAMADI")</f>
        <v>Receipts from bank own account abroad</v>
      </c>
      <c r="F253" s="5" t="s">
        <v>27</v>
      </c>
      <c r="G253" s="6" t="s">
        <v>464</v>
      </c>
      <c r="H253" s="6" t="s">
        <v>243</v>
      </c>
    </row>
    <row r="254" customFormat="false" ht="57.45" hidden="false" customHeight="false" outlineLevel="0" collapsed="false">
      <c r="A254" s="4" t="str">
        <f aca="false">B254&amp;"-"&amp;D254</f>
        <v>7516-A6C14</v>
      </c>
      <c r="B254" s="5" t="n">
        <v>7516</v>
      </c>
      <c r="C254" s="6" t="s">
        <v>465</v>
      </c>
      <c r="D254" s="7" t="s">
        <v>452</v>
      </c>
      <c r="E254" s="6" t="str">
        <f aca="false">IFERROR(INDEX('QAR Kodları'!$B:$B,MATCH(D254,'QAR Kodları'!$A:$A,0)),"KOD BULUNAMADI")</f>
        <v>Receipts on account of non-residents deposits</v>
      </c>
      <c r="F254" s="5" t="s">
        <v>32</v>
      </c>
      <c r="G254" s="6" t="s">
        <v>466</v>
      </c>
      <c r="H254" s="6" t="s">
        <v>447</v>
      </c>
    </row>
    <row r="255" customFormat="false" ht="46.25" hidden="false" customHeight="false" outlineLevel="0" collapsed="false">
      <c r="A255" s="4" t="str">
        <f aca="false">B255&amp;"-"&amp;D255</f>
        <v>7517-A6C14</v>
      </c>
      <c r="B255" s="5" t="n">
        <v>7517</v>
      </c>
      <c r="C255" s="6" t="s">
        <v>467</v>
      </c>
      <c r="D255" s="7" t="s">
        <v>452</v>
      </c>
      <c r="E255" s="6" t="str">
        <f aca="false">IFERROR(INDEX('QAR Kodları'!$B:$B,MATCH(D255,'QAR Kodları'!$A:$A,0)),"KOD BULUNAMADI")</f>
        <v>Receipts on account of non-residents deposits</v>
      </c>
      <c r="F255" s="5" t="s">
        <v>32</v>
      </c>
      <c r="G255" s="6" t="s">
        <v>466</v>
      </c>
      <c r="H255" s="6" t="s">
        <v>447</v>
      </c>
    </row>
    <row r="256" customFormat="false" ht="23.85" hidden="false" customHeight="false" outlineLevel="0" collapsed="false">
      <c r="A256" s="4" t="str">
        <f aca="false">B256&amp;"-"&amp;D256</f>
        <v>7620-A6C14</v>
      </c>
      <c r="B256" s="5" t="n">
        <v>7620</v>
      </c>
      <c r="C256" s="6" t="s">
        <v>468</v>
      </c>
      <c r="D256" s="7" t="s">
        <v>452</v>
      </c>
      <c r="E256" s="6" t="str">
        <f aca="false">IFERROR(INDEX('QAR Kodları'!$B:$B,MATCH(D256,'QAR Kodları'!$A:$A,0)),"KOD BULUNAMADI")</f>
        <v>Receipts on account of non-residents deposits</v>
      </c>
      <c r="F256" s="5" t="s">
        <v>27</v>
      </c>
      <c r="G256" s="6" t="s">
        <v>456</v>
      </c>
      <c r="H256" s="6" t="s">
        <v>457</v>
      </c>
    </row>
    <row r="257" customFormat="false" ht="23.85" hidden="false" customHeight="false" outlineLevel="0" collapsed="false">
      <c r="A257" s="4" t="str">
        <f aca="false">B257&amp;"-"&amp;D257</f>
        <v>7621-A6C14</v>
      </c>
      <c r="B257" s="5" t="n">
        <v>7621</v>
      </c>
      <c r="C257" s="6" t="s">
        <v>469</v>
      </c>
      <c r="D257" s="7" t="s">
        <v>452</v>
      </c>
      <c r="E257" s="6" t="str">
        <f aca="false">IFERROR(INDEX('QAR Kodları'!$B:$B,MATCH(D257,'QAR Kodları'!$A:$A,0)),"KOD BULUNAMADI")</f>
        <v>Receipts on account of non-residents deposits</v>
      </c>
      <c r="F257" s="5" t="s">
        <v>27</v>
      </c>
      <c r="G257" s="6" t="s">
        <v>456</v>
      </c>
      <c r="H257" s="6" t="s">
        <v>470</v>
      </c>
    </row>
    <row r="258" customFormat="false" ht="23.85" hidden="false" customHeight="false" outlineLevel="0" collapsed="false">
      <c r="A258" s="4" t="str">
        <f aca="false">B258&amp;"-"&amp;D258</f>
        <v>7622-A6C18</v>
      </c>
      <c r="B258" s="5" t="n">
        <v>7622</v>
      </c>
      <c r="C258" s="6" t="s">
        <v>471</v>
      </c>
      <c r="D258" s="7" t="s">
        <v>238</v>
      </c>
      <c r="E258" s="6" t="str">
        <f aca="false">IFERROR(INDEX('QAR Kodları'!$B:$B,MATCH(D258,'QAR Kodları'!$A:$A,0)),"KOD BULUNAMADI")</f>
        <v>Other capital receipts (not included else where)</v>
      </c>
      <c r="F258" s="5" t="s">
        <v>23</v>
      </c>
      <c r="G258" s="6" t="s">
        <v>472</v>
      </c>
      <c r="H258" s="6" t="s">
        <v>457</v>
      </c>
    </row>
    <row r="259" customFormat="false" ht="23.85" hidden="false" customHeight="false" outlineLevel="0" collapsed="false">
      <c r="A259" s="4" t="str">
        <f aca="false">B259&amp;"-"&amp;D259</f>
        <v>7623-A6C18</v>
      </c>
      <c r="B259" s="5" t="n">
        <v>7623</v>
      </c>
      <c r="C259" s="6" t="s">
        <v>473</v>
      </c>
      <c r="D259" s="7" t="s">
        <v>238</v>
      </c>
      <c r="E259" s="6" t="str">
        <f aca="false">IFERROR(INDEX('QAR Kodları'!$B:$B,MATCH(D259,'QAR Kodları'!$A:$A,0)),"KOD BULUNAMADI")</f>
        <v>Other capital receipts (not included else where)</v>
      </c>
      <c r="F259" s="5" t="s">
        <v>23</v>
      </c>
      <c r="G259" s="6" t="s">
        <v>472</v>
      </c>
      <c r="H259" s="6" t="s">
        <v>457</v>
      </c>
    </row>
    <row r="260" customFormat="false" ht="23.85" hidden="false" customHeight="false" outlineLevel="0" collapsed="false">
      <c r="A260" s="4" t="str">
        <f aca="false">B260&amp;"-"&amp;D260</f>
        <v>7624-A6C18</v>
      </c>
      <c r="B260" s="5" t="n">
        <v>7624</v>
      </c>
      <c r="C260" s="6" t="s">
        <v>474</v>
      </c>
      <c r="D260" s="7" t="s">
        <v>238</v>
      </c>
      <c r="E260" s="6" t="str">
        <f aca="false">IFERROR(INDEX('QAR Kodları'!$B:$B,MATCH(D260,'QAR Kodları'!$A:$A,0)),"KOD BULUNAMADI")</f>
        <v>Other capital receipts (not included else where)</v>
      </c>
      <c r="F260" s="5" t="s">
        <v>23</v>
      </c>
      <c r="G260" s="6" t="s">
        <v>472</v>
      </c>
      <c r="H260" s="6" t="s">
        <v>457</v>
      </c>
    </row>
    <row r="261" customFormat="false" ht="23.85" hidden="false" customHeight="false" outlineLevel="0" collapsed="false">
      <c r="A261" s="4" t="str">
        <f aca="false">B261&amp;"-"&amp;D261</f>
        <v>7625-A6C14</v>
      </c>
      <c r="B261" s="5" t="n">
        <v>7625</v>
      </c>
      <c r="C261" s="6" t="s">
        <v>475</v>
      </c>
      <c r="D261" s="7" t="s">
        <v>452</v>
      </c>
      <c r="E261" s="6" t="str">
        <f aca="false">IFERROR(INDEX('QAR Kodları'!$B:$B,MATCH(D261,'QAR Kodları'!$A:$A,0)),"KOD BULUNAMADI")</f>
        <v>Receipts on account of non-residents deposits</v>
      </c>
      <c r="F261" s="5" t="s">
        <v>27</v>
      </c>
      <c r="G261" s="6" t="s">
        <v>456</v>
      </c>
      <c r="H261" s="6" t="s">
        <v>457</v>
      </c>
    </row>
    <row r="262" customFormat="false" ht="23.85" hidden="false" customHeight="false" outlineLevel="0" collapsed="false">
      <c r="A262" s="4" t="str">
        <f aca="false">B262&amp;"-"&amp;D262</f>
        <v>7626-A6C18</v>
      </c>
      <c r="B262" s="5" t="n">
        <v>7626</v>
      </c>
      <c r="C262" s="6" t="s">
        <v>476</v>
      </c>
      <c r="D262" s="7" t="s">
        <v>238</v>
      </c>
      <c r="E262" s="6" t="str">
        <f aca="false">IFERROR(INDEX('QAR Kodları'!$B:$B,MATCH(D262,'QAR Kodları'!$A:$A,0)),"KOD BULUNAMADI")</f>
        <v>Other capital receipts (not included else where)</v>
      </c>
      <c r="F262" s="5" t="s">
        <v>23</v>
      </c>
      <c r="G262" s="6" t="s">
        <v>472</v>
      </c>
      <c r="H262" s="6" t="s">
        <v>457</v>
      </c>
    </row>
    <row r="263" customFormat="false" ht="23.85" hidden="false" customHeight="false" outlineLevel="0" collapsed="false">
      <c r="A263" s="4" t="str">
        <f aca="false">B263&amp;"-"&amp;D263</f>
        <v>7630-A6C18</v>
      </c>
      <c r="B263" s="5" t="n">
        <v>7630</v>
      </c>
      <c r="C263" s="6" t="s">
        <v>477</v>
      </c>
      <c r="D263" s="7" t="s">
        <v>238</v>
      </c>
      <c r="E263" s="6" t="str">
        <f aca="false">IFERROR(INDEX('QAR Kodları'!$B:$B,MATCH(D263,'QAR Kodları'!$A:$A,0)),"KOD BULUNAMADI")</f>
        <v>Other capital receipts (not included else where)</v>
      </c>
      <c r="F263" s="5" t="s">
        <v>23</v>
      </c>
      <c r="G263" s="6" t="s">
        <v>478</v>
      </c>
      <c r="H263" s="6" t="s">
        <v>457</v>
      </c>
    </row>
    <row r="264" customFormat="false" ht="35.05" hidden="false" customHeight="false" outlineLevel="0" collapsed="false">
      <c r="A264" s="4" t="str">
        <f aca="false">B264&amp;"-"&amp;D264</f>
        <v>T7630-A6C18</v>
      </c>
      <c r="B264" s="5" t="s">
        <v>479</v>
      </c>
      <c r="C264" s="6" t="s">
        <v>480</v>
      </c>
      <c r="D264" s="7" t="s">
        <v>238</v>
      </c>
      <c r="E264" s="6" t="str">
        <f aca="false">IFERROR(INDEX('QAR Kodları'!$B:$B,MATCH(D264,'QAR Kodları'!$A:$A,0)),"KOD BULUNAMADI")</f>
        <v>Other capital receipts (not included else where)</v>
      </c>
      <c r="F264" s="5" t="s">
        <v>23</v>
      </c>
      <c r="G264" s="6" t="s">
        <v>478</v>
      </c>
      <c r="H264" s="6" t="s">
        <v>457</v>
      </c>
    </row>
    <row r="265" customFormat="false" ht="23.85" hidden="false" customHeight="false" outlineLevel="0" collapsed="false">
      <c r="A265" s="4" t="str">
        <f aca="false">B265&amp;"-"&amp;D265</f>
        <v>7631-A6C18</v>
      </c>
      <c r="B265" s="5" t="n">
        <v>7631</v>
      </c>
      <c r="C265" s="6" t="s">
        <v>481</v>
      </c>
      <c r="D265" s="7" t="s">
        <v>238</v>
      </c>
      <c r="E265" s="6" t="str">
        <f aca="false">IFERROR(INDEX('QAR Kodları'!$B:$B,MATCH(D265,'QAR Kodları'!$A:$A,0)),"KOD BULUNAMADI")</f>
        <v>Other capital receipts (not included else where)</v>
      </c>
      <c r="F265" s="5" t="s">
        <v>23</v>
      </c>
      <c r="G265" s="6" t="s">
        <v>478</v>
      </c>
      <c r="H265" s="6" t="s">
        <v>457</v>
      </c>
    </row>
    <row r="266" customFormat="false" ht="35.05" hidden="false" customHeight="false" outlineLevel="0" collapsed="false">
      <c r="A266" s="4" t="str">
        <f aca="false">B266&amp;"-"&amp;D266</f>
        <v>T7631-A6C18</v>
      </c>
      <c r="B266" s="5" t="s">
        <v>482</v>
      </c>
      <c r="C266" s="6" t="s">
        <v>483</v>
      </c>
      <c r="D266" s="7" t="s">
        <v>238</v>
      </c>
      <c r="E266" s="6" t="str">
        <f aca="false">IFERROR(INDEX('QAR Kodları'!$B:$B,MATCH(D266,'QAR Kodları'!$A:$A,0)),"KOD BULUNAMADI")</f>
        <v>Other capital receipts (not included else where)</v>
      </c>
      <c r="F266" s="5" t="s">
        <v>23</v>
      </c>
      <c r="G266" s="6" t="s">
        <v>478</v>
      </c>
      <c r="H266" s="6" t="s">
        <v>457</v>
      </c>
    </row>
    <row r="267" customFormat="false" ht="23.85" hidden="false" customHeight="false" outlineLevel="0" collapsed="false">
      <c r="A267" s="4" t="str">
        <f aca="false">B267&amp;"-"&amp;D267</f>
        <v>7632-A6C18</v>
      </c>
      <c r="B267" s="5" t="n">
        <v>7632</v>
      </c>
      <c r="C267" s="6" t="s">
        <v>484</v>
      </c>
      <c r="D267" s="7" t="s">
        <v>238</v>
      </c>
      <c r="E267" s="6" t="str">
        <f aca="false">IFERROR(INDEX('QAR Kodları'!$B:$B,MATCH(D267,'QAR Kodları'!$A:$A,0)),"KOD BULUNAMADI")</f>
        <v>Other capital receipts (not included else where)</v>
      </c>
      <c r="F267" s="5" t="s">
        <v>23</v>
      </c>
      <c r="G267" s="6" t="s">
        <v>478</v>
      </c>
      <c r="H267" s="6" t="s">
        <v>470</v>
      </c>
    </row>
    <row r="268" customFormat="false" ht="23.85" hidden="false" customHeight="false" outlineLevel="0" collapsed="false">
      <c r="A268" s="4" t="str">
        <f aca="false">B268&amp;"-"&amp;D268</f>
        <v>7633-A6C18</v>
      </c>
      <c r="B268" s="5" t="n">
        <v>7633</v>
      </c>
      <c r="C268" s="6" t="s">
        <v>485</v>
      </c>
      <c r="D268" s="7" t="s">
        <v>238</v>
      </c>
      <c r="E268" s="6" t="str">
        <f aca="false">IFERROR(INDEX('QAR Kodları'!$B:$B,MATCH(D268,'QAR Kodları'!$A:$A,0)),"KOD BULUNAMADI")</f>
        <v>Other capital receipts (not included else where)</v>
      </c>
      <c r="F268" s="5" t="s">
        <v>23</v>
      </c>
      <c r="G268" s="6" t="s">
        <v>478</v>
      </c>
      <c r="H268" s="6" t="s">
        <v>457</v>
      </c>
    </row>
    <row r="269" customFormat="false" ht="23.85" hidden="false" customHeight="false" outlineLevel="0" collapsed="false">
      <c r="A269" s="4" t="str">
        <f aca="false">B269&amp;"-"&amp;D269</f>
        <v>7634-A6C18</v>
      </c>
      <c r="B269" s="5" t="n">
        <v>7634</v>
      </c>
      <c r="C269" s="6" t="s">
        <v>486</v>
      </c>
      <c r="D269" s="7" t="s">
        <v>238</v>
      </c>
      <c r="E269" s="6" t="str">
        <f aca="false">IFERROR(INDEX('QAR Kodları'!$B:$B,MATCH(D269,'QAR Kodları'!$A:$A,0)),"KOD BULUNAMADI")</f>
        <v>Other capital receipts (not included else where)</v>
      </c>
      <c r="F269" s="5" t="s">
        <v>23</v>
      </c>
      <c r="G269" s="6" t="s">
        <v>478</v>
      </c>
      <c r="H269" s="6" t="s">
        <v>457</v>
      </c>
    </row>
    <row r="270" customFormat="false" ht="23.85" hidden="false" customHeight="false" outlineLevel="0" collapsed="false">
      <c r="A270" s="4" t="str">
        <f aca="false">B270&amp;"-"&amp;D270</f>
        <v>7635-A6C18</v>
      </c>
      <c r="B270" s="5" t="n">
        <v>7635</v>
      </c>
      <c r="C270" s="6" t="s">
        <v>487</v>
      </c>
      <c r="D270" s="7" t="s">
        <v>238</v>
      </c>
      <c r="E270" s="6" t="str">
        <f aca="false">IFERROR(INDEX('QAR Kodları'!$B:$B,MATCH(D270,'QAR Kodları'!$A:$A,0)),"KOD BULUNAMADI")</f>
        <v>Other capital receipts (not included else where)</v>
      </c>
      <c r="F270" s="5" t="s">
        <v>23</v>
      </c>
      <c r="G270" s="6" t="s">
        <v>478</v>
      </c>
      <c r="H270" s="6" t="s">
        <v>457</v>
      </c>
    </row>
    <row r="271" customFormat="false" ht="23.85" hidden="false" customHeight="false" outlineLevel="0" collapsed="false">
      <c r="A271" s="4" t="str">
        <f aca="false">B271&amp;"-"&amp;D271</f>
        <v>7636-A6C18</v>
      </c>
      <c r="B271" s="5" t="n">
        <v>7636</v>
      </c>
      <c r="C271" s="6" t="s">
        <v>488</v>
      </c>
      <c r="D271" s="7" t="s">
        <v>238</v>
      </c>
      <c r="E271" s="6" t="str">
        <f aca="false">IFERROR(INDEX('QAR Kodları'!$B:$B,MATCH(D271,'QAR Kodları'!$A:$A,0)),"KOD BULUNAMADI")</f>
        <v>Other capital receipts (not included else where)</v>
      </c>
      <c r="F271" s="5" t="s">
        <v>23</v>
      </c>
      <c r="G271" s="6" t="s">
        <v>478</v>
      </c>
      <c r="H271" s="6" t="s">
        <v>457</v>
      </c>
    </row>
    <row r="272" customFormat="false" ht="23.85" hidden="false" customHeight="false" outlineLevel="0" collapsed="false">
      <c r="A272" s="4" t="str">
        <f aca="false">B272&amp;"-"&amp;D272</f>
        <v>7640-A6C18</v>
      </c>
      <c r="B272" s="5" t="n">
        <v>7640</v>
      </c>
      <c r="C272" s="6" t="s">
        <v>489</v>
      </c>
      <c r="D272" s="7" t="s">
        <v>238</v>
      </c>
      <c r="E272" s="6" t="str">
        <f aca="false">IFERROR(INDEX('QAR Kodları'!$B:$B,MATCH(D272,'QAR Kodları'!$A:$A,0)),"KOD BULUNAMADI")</f>
        <v>Other capital receipts (not included else where)</v>
      </c>
      <c r="F272" s="5" t="s">
        <v>23</v>
      </c>
      <c r="G272" s="6" t="s">
        <v>490</v>
      </c>
      <c r="H272" s="6" t="s">
        <v>491</v>
      </c>
    </row>
    <row r="273" customFormat="false" ht="23.85" hidden="false" customHeight="false" outlineLevel="0" collapsed="false">
      <c r="A273" s="4" t="str">
        <f aca="false">B273&amp;"-"&amp;D273</f>
        <v>7641-A6C18</v>
      </c>
      <c r="B273" s="5" t="n">
        <v>7641</v>
      </c>
      <c r="C273" s="6" t="s">
        <v>492</v>
      </c>
      <c r="D273" s="7" t="s">
        <v>238</v>
      </c>
      <c r="E273" s="6" t="str">
        <f aca="false">IFERROR(INDEX('QAR Kodları'!$B:$B,MATCH(D273,'QAR Kodları'!$A:$A,0)),"KOD BULUNAMADI")</f>
        <v>Other capital receipts (not included else where)</v>
      </c>
      <c r="F273" s="5" t="s">
        <v>23</v>
      </c>
      <c r="G273" s="6" t="s">
        <v>490</v>
      </c>
      <c r="H273" s="6" t="s">
        <v>491</v>
      </c>
    </row>
    <row r="274" customFormat="false" ht="23.85" hidden="false" customHeight="false" outlineLevel="0" collapsed="false">
      <c r="A274" s="4" t="str">
        <f aca="false">B274&amp;"-"&amp;D274</f>
        <v>7642-A6C18</v>
      </c>
      <c r="B274" s="5" t="n">
        <v>7642</v>
      </c>
      <c r="C274" s="6" t="s">
        <v>493</v>
      </c>
      <c r="D274" s="7" t="s">
        <v>238</v>
      </c>
      <c r="E274" s="6" t="str">
        <f aca="false">IFERROR(INDEX('QAR Kodları'!$B:$B,MATCH(D274,'QAR Kodları'!$A:$A,0)),"KOD BULUNAMADI")</f>
        <v>Other capital receipts (not included else where)</v>
      </c>
      <c r="F274" s="5" t="s">
        <v>23</v>
      </c>
      <c r="G274" s="6" t="s">
        <v>490</v>
      </c>
      <c r="H274" s="6" t="s">
        <v>491</v>
      </c>
    </row>
    <row r="275" customFormat="false" ht="46.25" hidden="false" customHeight="false" outlineLevel="0" collapsed="false">
      <c r="A275" s="4" t="str">
        <f aca="false">B275&amp;"-"&amp;D275</f>
        <v>8320-A6C14</v>
      </c>
      <c r="B275" s="5" t="n">
        <v>8320</v>
      </c>
      <c r="C275" s="6" t="s">
        <v>494</v>
      </c>
      <c r="D275" s="7" t="s">
        <v>452</v>
      </c>
      <c r="E275" s="6" t="str">
        <f aca="false">IFERROR(INDEX('QAR Kodları'!$B:$B,MATCH(D275,'QAR Kodları'!$A:$A,0)),"KOD BULUNAMADI")</f>
        <v>Receipts on account of non-residents deposits</v>
      </c>
      <c r="F275" s="5" t="s">
        <v>27</v>
      </c>
      <c r="G275" s="6" t="s">
        <v>495</v>
      </c>
      <c r="H275" s="6" t="s">
        <v>447</v>
      </c>
    </row>
    <row r="276" customFormat="false" ht="46.25" hidden="false" customHeight="false" outlineLevel="0" collapsed="false">
      <c r="A276" s="4" t="str">
        <f aca="false">B276&amp;"-"&amp;D276</f>
        <v>8351-A6C18</v>
      </c>
      <c r="B276" s="5" t="n">
        <v>8351</v>
      </c>
      <c r="C276" s="6" t="s">
        <v>496</v>
      </c>
      <c r="D276" s="7" t="s">
        <v>238</v>
      </c>
      <c r="E276" s="6" t="str">
        <f aca="false">IFERROR(INDEX('QAR Kodları'!$B:$B,MATCH(D276,'QAR Kodları'!$A:$A,0)),"KOD BULUNAMADI")</f>
        <v>Other capital receipts (not included else where)</v>
      </c>
      <c r="F276" s="5" t="s">
        <v>23</v>
      </c>
      <c r="G276" s="6" t="s">
        <v>497</v>
      </c>
      <c r="H276" s="6" t="s">
        <v>447</v>
      </c>
    </row>
    <row r="277" customFormat="false" ht="15" hidden="false" customHeight="false" outlineLevel="0" collapsed="false">
      <c r="A277" s="4" t="str">
        <f aca="false">B277&amp;"-"&amp;D277</f>
        <v>8353-A6C18</v>
      </c>
      <c r="B277" s="5" t="n">
        <v>8353</v>
      </c>
      <c r="C277" s="6" t="s">
        <v>498</v>
      </c>
      <c r="D277" s="7" t="s">
        <v>238</v>
      </c>
      <c r="E277" s="6" t="str">
        <f aca="false">IFERROR(INDEX('QAR Kodları'!$B:$B,MATCH(D277,'QAR Kodları'!$A:$A,0)),"KOD BULUNAMADI")</f>
        <v>Other capital receipts (not included else where)</v>
      </c>
      <c r="F277" s="5" t="s">
        <v>23</v>
      </c>
      <c r="G277" s="6" t="s">
        <v>499</v>
      </c>
      <c r="H277" s="6" t="s">
        <v>243</v>
      </c>
    </row>
    <row r="278" customFormat="false" ht="15" hidden="false" customHeight="false" outlineLevel="0" collapsed="false">
      <c r="A278" s="4" t="str">
        <f aca="false">B278&amp;"-"&amp;D278</f>
        <v>8369-A6C15</v>
      </c>
      <c r="B278" s="5" t="n">
        <v>8369</v>
      </c>
      <c r="C278" s="6" t="s">
        <v>500</v>
      </c>
      <c r="D278" s="7" t="s">
        <v>459</v>
      </c>
      <c r="E278" s="6" t="str">
        <f aca="false">IFERROR(INDEX('QAR Kodları'!$B:$B,MATCH(D278,'QAR Kodları'!$A:$A,0)),"KOD BULUNAMADI")</f>
        <v>Receipts from bank own account abroad</v>
      </c>
      <c r="F278" s="5" t="s">
        <v>27</v>
      </c>
      <c r="G278" s="6" t="s">
        <v>460</v>
      </c>
      <c r="H278" s="6" t="s">
        <v>461</v>
      </c>
    </row>
    <row r="279" customFormat="false" ht="15" hidden="false" customHeight="false" outlineLevel="0" collapsed="false">
      <c r="A279" s="4" t="str">
        <f aca="false">B279&amp;"-"&amp;D279</f>
        <v>8390-A7B02</v>
      </c>
      <c r="B279" s="5" t="n">
        <v>8390</v>
      </c>
      <c r="C279" s="6" t="s">
        <v>501</v>
      </c>
      <c r="D279" s="7" t="s">
        <v>502</v>
      </c>
      <c r="E279" s="6" t="str">
        <f aca="false">IFERROR(INDEX('QAR Kodları'!$B:$B,MATCH(D279,'QAR Kodları'!$A:$A,0)),"KOD BULUNAMADI")</f>
        <v>Reversal of wrong entries refunds of amount remitted for non-imports</v>
      </c>
      <c r="F279" s="5" t="s">
        <v>32</v>
      </c>
      <c r="G279" s="6" t="s">
        <v>503</v>
      </c>
      <c r="H279" s="6" t="s">
        <v>243</v>
      </c>
    </row>
    <row r="280" customFormat="false" ht="15" hidden="false" customHeight="false" outlineLevel="0" collapsed="false">
      <c r="A280" s="4" t="str">
        <f aca="false">B280&amp;"-"&amp;D280</f>
        <v>8393-A7A01</v>
      </c>
      <c r="B280" s="5" t="n">
        <v>8393</v>
      </c>
      <c r="C280" s="6" t="s">
        <v>504</v>
      </c>
      <c r="D280" s="7" t="s">
        <v>337</v>
      </c>
      <c r="E280" s="6" t="str">
        <f aca="false">IFERROR(INDEX('QAR Kodları'!$B:$B,MATCH(D280,'QAR Kodları'!$A:$A,0)),"KOD BULUNAMADI")</f>
        <v>Refund/rebates on account of imports</v>
      </c>
      <c r="F280" s="5" t="s">
        <v>27</v>
      </c>
      <c r="G280" s="6" t="s">
        <v>505</v>
      </c>
      <c r="H280" s="6" t="s">
        <v>243</v>
      </c>
    </row>
    <row r="281" customFormat="false" ht="23.85" hidden="false" customHeight="false" outlineLevel="0" collapsed="false">
      <c r="A281" s="4" t="str">
        <f aca="false">B281&amp;"-"&amp;D281</f>
        <v>8395-A6C15</v>
      </c>
      <c r="B281" s="5" t="n">
        <v>8395</v>
      </c>
      <c r="C281" s="6" t="s">
        <v>506</v>
      </c>
      <c r="D281" s="7" t="s">
        <v>459</v>
      </c>
      <c r="E281" s="6" t="str">
        <f aca="false">IFERROR(INDEX('QAR Kodları'!$B:$B,MATCH(D281,'QAR Kodları'!$A:$A,0)),"KOD BULUNAMADI")</f>
        <v>Receipts from bank own account abroad</v>
      </c>
      <c r="F281" s="5" t="s">
        <v>27</v>
      </c>
      <c r="G281" s="6" t="s">
        <v>507</v>
      </c>
      <c r="H281" s="6" t="s">
        <v>508</v>
      </c>
    </row>
    <row r="282" customFormat="false" ht="23.85" hidden="false" customHeight="false" outlineLevel="0" collapsed="false">
      <c r="A282" s="4" t="str">
        <f aca="false">B282&amp;"-"&amp;D282</f>
        <v>8399-A2J01</v>
      </c>
      <c r="B282" s="5" t="n">
        <v>8399</v>
      </c>
      <c r="C282" s="6" t="s">
        <v>509</v>
      </c>
      <c r="D282" s="7" t="s">
        <v>510</v>
      </c>
      <c r="E282" s="6" t="str">
        <f aca="false">IFERROR(INDEX('QAR Kodları'!$B:$B,MATCH(D282,'QAR Kodları'!$A:$A,0)),"KOD BULUNAMADI")</f>
        <v>Merchanting services - net receipt (from sale &amp; purchase of goods without crossing the border)</v>
      </c>
      <c r="F282" s="5" t="s">
        <v>32</v>
      </c>
      <c r="G282" s="6" t="s">
        <v>511</v>
      </c>
      <c r="H282" s="6" t="s">
        <v>29</v>
      </c>
    </row>
  </sheetData>
  <autoFilter ref="A1:H282"/>
  <conditionalFormatting sqref="F2:F282">
    <cfRule type="cellIs" priority="2" operator="equal" aboveAverage="0" equalAverage="0" bottom="0" percent="0" rank="0" text="" dxfId="7">
      <formula>"Tam"</formula>
    </cfRule>
    <cfRule type="cellIs" priority="3" operator="equal" aboveAverage="0" equalAverage="0" bottom="0" percent="0" rank="0" text="" dxfId="8">
      <formula>"Yakın"</formula>
    </cfRule>
    <cfRule type="cellIs" priority="4" operator="equal" aboveAverage="0" equalAverage="0" bottom="0" percent="0" rank="0" text="" dxfId="9">
      <formula>"Genel / En yakın"</formula>
    </cfRule>
  </conditionalFormatting>
  <dataValidations count="1">
    <dataValidation allowBlank="false" errorStyle="stop" operator="between" showDropDown="false" showErrorMessage="false" showInputMessage="false" sqref="D2:D282" type="list">
      <formula1>'QAR Kodları'!$A$2:$A$86</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00"/>
    <col collapsed="false" customWidth="true" hidden="false" outlineLevel="0" max="3" min="3" style="0" width="22"/>
  </cols>
  <sheetData>
    <row r="1" customFormat="false" ht="23.85" hidden="false" customHeight="false" outlineLevel="0" collapsed="false">
      <c r="A1" s="3" t="s">
        <v>17</v>
      </c>
      <c r="B1" s="3" t="s">
        <v>512</v>
      </c>
      <c r="C1" s="3" t="s">
        <v>513</v>
      </c>
    </row>
    <row r="2" customFormat="false" ht="15" hidden="false" customHeight="false" outlineLevel="0" collapsed="false">
      <c r="A2" s="5" t="s">
        <v>22</v>
      </c>
      <c r="B2" s="6" t="s">
        <v>514</v>
      </c>
      <c r="C2" s="5" t="n">
        <f aca="false">COUNTIF(Eşleştirme!$D$2:$D$282,A2)</f>
        <v>3</v>
      </c>
    </row>
    <row r="3" customFormat="false" ht="15" hidden="false" customHeight="false" outlineLevel="0" collapsed="false">
      <c r="A3" s="5" t="s">
        <v>31</v>
      </c>
      <c r="B3" s="6" t="s">
        <v>515</v>
      </c>
      <c r="C3" s="5" t="n">
        <f aca="false">COUNTIF(Eşleştirme!$D$2:$D$282,A3)</f>
        <v>1</v>
      </c>
    </row>
    <row r="4" customFormat="false" ht="15" hidden="false" customHeight="false" outlineLevel="0" collapsed="false">
      <c r="A4" s="5" t="s">
        <v>36</v>
      </c>
      <c r="B4" s="6" t="s">
        <v>516</v>
      </c>
      <c r="C4" s="5" t="n">
        <f aca="false">COUNTIF(Eşleştirme!$D$2:$D$282,A4)</f>
        <v>1</v>
      </c>
    </row>
    <row r="5" customFormat="false" ht="15" hidden="false" customHeight="false" outlineLevel="0" collapsed="false">
      <c r="A5" s="5" t="s">
        <v>41</v>
      </c>
      <c r="B5" s="6" t="s">
        <v>517</v>
      </c>
      <c r="C5" s="5" t="n">
        <f aca="false">COUNTIF(Eşleştirme!$D$2:$D$282,A5)</f>
        <v>3</v>
      </c>
    </row>
    <row r="6" customFormat="false" ht="15" hidden="false" customHeight="false" outlineLevel="0" collapsed="false">
      <c r="A6" s="5" t="s">
        <v>52</v>
      </c>
      <c r="B6" s="6" t="s">
        <v>518</v>
      </c>
      <c r="C6" s="5" t="n">
        <f aca="false">COUNTIF(Eşleştirme!$D$2:$D$282,A6)</f>
        <v>3</v>
      </c>
    </row>
    <row r="7" customFormat="false" ht="15" hidden="false" customHeight="false" outlineLevel="0" collapsed="false">
      <c r="A7" s="5" t="s">
        <v>46</v>
      </c>
      <c r="B7" s="6" t="s">
        <v>519</v>
      </c>
      <c r="C7" s="5" t="n">
        <f aca="false">COUNTIF(Eşleştirme!$D$2:$D$282,A7)</f>
        <v>1</v>
      </c>
    </row>
    <row r="8" customFormat="false" ht="15" hidden="false" customHeight="false" outlineLevel="0" collapsed="false">
      <c r="A8" s="5" t="s">
        <v>520</v>
      </c>
      <c r="B8" s="6" t="s">
        <v>521</v>
      </c>
      <c r="C8" s="5" t="n">
        <f aca="false">COUNTIF(Eşleştirme!$D$2:$D$282,A8)</f>
        <v>0</v>
      </c>
    </row>
    <row r="9" customFormat="false" ht="15" hidden="false" customHeight="false" outlineLevel="0" collapsed="false">
      <c r="A9" s="5" t="s">
        <v>522</v>
      </c>
      <c r="B9" s="6" t="s">
        <v>523</v>
      </c>
      <c r="C9" s="5" t="n">
        <f aca="false">COUNTIF(Eşleştirme!$D$2:$D$282,A9)</f>
        <v>0</v>
      </c>
    </row>
    <row r="10" customFormat="false" ht="15" hidden="false" customHeight="false" outlineLevel="0" collapsed="false">
      <c r="A10" s="5" t="s">
        <v>56</v>
      </c>
      <c r="B10" s="6" t="s">
        <v>524</v>
      </c>
      <c r="C10" s="5" t="n">
        <f aca="false">COUNTIF(Eşleştirme!$D$2:$D$282,A10)</f>
        <v>1</v>
      </c>
    </row>
    <row r="11" customFormat="false" ht="15" hidden="false" customHeight="false" outlineLevel="0" collapsed="false">
      <c r="A11" s="5" t="s">
        <v>525</v>
      </c>
      <c r="B11" s="6" t="s">
        <v>526</v>
      </c>
      <c r="C11" s="5" t="n">
        <f aca="false">COUNTIF(Eşleştirme!$D$2:$D$282,A11)</f>
        <v>0</v>
      </c>
    </row>
    <row r="12" customFormat="false" ht="15" hidden="false" customHeight="false" outlineLevel="0" collapsed="false">
      <c r="A12" s="5" t="s">
        <v>527</v>
      </c>
      <c r="B12" s="6" t="s">
        <v>528</v>
      </c>
      <c r="C12" s="5" t="n">
        <f aca="false">COUNTIF(Eşleştirme!$D$2:$D$282,A12)</f>
        <v>0</v>
      </c>
    </row>
    <row r="13" customFormat="false" ht="15" hidden="false" customHeight="false" outlineLevel="0" collapsed="false">
      <c r="A13" s="5" t="s">
        <v>49</v>
      </c>
      <c r="B13" s="6" t="s">
        <v>529</v>
      </c>
      <c r="C13" s="5" t="n">
        <f aca="false">COUNTIF(Eşleştirme!$D$2:$D$282,A13)</f>
        <v>14</v>
      </c>
    </row>
    <row r="14" customFormat="false" ht="23.85" hidden="false" customHeight="false" outlineLevel="0" collapsed="false">
      <c r="A14" s="5" t="s">
        <v>77</v>
      </c>
      <c r="B14" s="6" t="s">
        <v>530</v>
      </c>
      <c r="C14" s="5" t="n">
        <f aca="false">COUNTIF(Eşleştirme!$D$2:$D$282,A14)</f>
        <v>1</v>
      </c>
    </row>
    <row r="15" customFormat="false" ht="15" hidden="false" customHeight="false" outlineLevel="0" collapsed="false">
      <c r="A15" s="5" t="s">
        <v>531</v>
      </c>
      <c r="B15" s="6" t="s">
        <v>532</v>
      </c>
      <c r="C15" s="5" t="n">
        <f aca="false">COUNTIF(Eşleştirme!$D$2:$D$282,A15)</f>
        <v>0</v>
      </c>
    </row>
    <row r="16" customFormat="false" ht="15" hidden="false" customHeight="false" outlineLevel="0" collapsed="false">
      <c r="A16" s="5" t="s">
        <v>86</v>
      </c>
      <c r="B16" s="6" t="s">
        <v>533</v>
      </c>
      <c r="C16" s="5" t="n">
        <f aca="false">COUNTIF(Eşleştirme!$D$2:$D$282,A16)</f>
        <v>2</v>
      </c>
    </row>
    <row r="17" customFormat="false" ht="15" hidden="false" customHeight="false" outlineLevel="0" collapsed="false">
      <c r="A17" s="5" t="s">
        <v>92</v>
      </c>
      <c r="B17" s="6" t="s">
        <v>534</v>
      </c>
      <c r="C17" s="5" t="n">
        <f aca="false">COUNTIF(Eşleştirme!$D$2:$D$282,A17)</f>
        <v>1</v>
      </c>
    </row>
    <row r="18" customFormat="false" ht="15" hidden="false" customHeight="false" outlineLevel="0" collapsed="false">
      <c r="A18" s="5" t="s">
        <v>94</v>
      </c>
      <c r="B18" s="6" t="s">
        <v>535</v>
      </c>
      <c r="C18" s="5" t="n">
        <f aca="false">COUNTIF(Eşleştirme!$D$2:$D$282,A18)</f>
        <v>2</v>
      </c>
    </row>
    <row r="19" customFormat="false" ht="15" hidden="false" customHeight="false" outlineLevel="0" collapsed="false">
      <c r="A19" s="5" t="s">
        <v>96</v>
      </c>
      <c r="B19" s="6" t="s">
        <v>536</v>
      </c>
      <c r="C19" s="5" t="n">
        <f aca="false">COUNTIF(Eşleştirme!$D$2:$D$282,A19)</f>
        <v>1</v>
      </c>
    </row>
    <row r="20" customFormat="false" ht="15" hidden="false" customHeight="false" outlineLevel="0" collapsed="false">
      <c r="A20" s="5" t="s">
        <v>100</v>
      </c>
      <c r="B20" s="6" t="s">
        <v>537</v>
      </c>
      <c r="C20" s="5" t="n">
        <f aca="false">COUNTIF(Eşleştirme!$D$2:$D$282,A20)</f>
        <v>1</v>
      </c>
    </row>
    <row r="21" customFormat="false" ht="15" hidden="false" customHeight="false" outlineLevel="0" collapsed="false">
      <c r="A21" s="5" t="s">
        <v>538</v>
      </c>
      <c r="B21" s="6" t="s">
        <v>539</v>
      </c>
      <c r="C21" s="5" t="n">
        <f aca="false">COUNTIF(Eşleştirme!$D$2:$D$282,A21)</f>
        <v>0</v>
      </c>
    </row>
    <row r="22" customFormat="false" ht="15" hidden="false" customHeight="false" outlineLevel="0" collapsed="false">
      <c r="A22" s="5" t="s">
        <v>80</v>
      </c>
      <c r="B22" s="6" t="s">
        <v>540</v>
      </c>
      <c r="C22" s="5" t="n">
        <f aca="false">COUNTIF(Eşleştirme!$D$2:$D$282,A22)</f>
        <v>2</v>
      </c>
    </row>
    <row r="23" customFormat="false" ht="15" hidden="false" customHeight="false" outlineLevel="0" collapsed="false">
      <c r="A23" s="5" t="s">
        <v>541</v>
      </c>
      <c r="B23" s="6" t="s">
        <v>542</v>
      </c>
      <c r="C23" s="5" t="n">
        <f aca="false">COUNTIF(Eşleştirme!$D$2:$D$282,A23)</f>
        <v>0</v>
      </c>
    </row>
    <row r="24" customFormat="false" ht="15" hidden="false" customHeight="false" outlineLevel="0" collapsed="false">
      <c r="A24" s="5" t="s">
        <v>129</v>
      </c>
      <c r="B24" s="6" t="s">
        <v>543</v>
      </c>
      <c r="C24" s="5" t="n">
        <f aca="false">COUNTIF(Eşleştirme!$D$2:$D$282,A24)</f>
        <v>1</v>
      </c>
    </row>
    <row r="25" customFormat="false" ht="15" hidden="false" customHeight="false" outlineLevel="0" collapsed="false">
      <c r="A25" s="5" t="s">
        <v>544</v>
      </c>
      <c r="B25" s="6" t="s">
        <v>545</v>
      </c>
      <c r="C25" s="5" t="n">
        <f aca="false">COUNTIF(Eşleştirme!$D$2:$D$282,A25)</f>
        <v>0</v>
      </c>
    </row>
    <row r="26" customFormat="false" ht="15" hidden="false" customHeight="false" outlineLevel="0" collapsed="false">
      <c r="A26" s="5" t="s">
        <v>132</v>
      </c>
      <c r="B26" s="6" t="s">
        <v>546</v>
      </c>
      <c r="C26" s="5" t="n">
        <f aca="false">COUNTIF(Eşleştirme!$D$2:$D$282,A26)</f>
        <v>1</v>
      </c>
    </row>
    <row r="27" customFormat="false" ht="15" hidden="false" customHeight="false" outlineLevel="0" collapsed="false">
      <c r="A27" s="5" t="s">
        <v>135</v>
      </c>
      <c r="B27" s="6" t="s">
        <v>547</v>
      </c>
      <c r="C27" s="5" t="n">
        <f aca="false">COUNTIF(Eşleştirme!$D$2:$D$282,A27)</f>
        <v>1</v>
      </c>
    </row>
    <row r="28" customFormat="false" ht="15" hidden="false" customHeight="false" outlineLevel="0" collapsed="false">
      <c r="A28" s="5" t="s">
        <v>137</v>
      </c>
      <c r="B28" s="6" t="s">
        <v>548</v>
      </c>
      <c r="C28" s="5" t="n">
        <f aca="false">COUNTIF(Eşleştirme!$D$2:$D$282,A28)</f>
        <v>1</v>
      </c>
    </row>
    <row r="29" customFormat="false" ht="23.85" hidden="false" customHeight="false" outlineLevel="0" collapsed="false">
      <c r="A29" s="5" t="s">
        <v>102</v>
      </c>
      <c r="B29" s="6" t="s">
        <v>549</v>
      </c>
      <c r="C29" s="5" t="n">
        <f aca="false">COUNTIF(Eşleştirme!$D$2:$D$282,A29)</f>
        <v>2</v>
      </c>
    </row>
    <row r="30" customFormat="false" ht="15" hidden="false" customHeight="false" outlineLevel="0" collapsed="false">
      <c r="A30" s="5" t="s">
        <v>106</v>
      </c>
      <c r="B30" s="6" t="s">
        <v>550</v>
      </c>
      <c r="C30" s="5" t="n">
        <f aca="false">COUNTIF(Eşleştirme!$D$2:$D$282,A30)</f>
        <v>2</v>
      </c>
    </row>
    <row r="31" customFormat="false" ht="23.85" hidden="false" customHeight="false" outlineLevel="0" collapsed="false">
      <c r="A31" s="5" t="s">
        <v>551</v>
      </c>
      <c r="B31" s="6" t="s">
        <v>552</v>
      </c>
      <c r="C31" s="5" t="n">
        <f aca="false">COUNTIF(Eşleştirme!$D$2:$D$282,A31)</f>
        <v>0</v>
      </c>
    </row>
    <row r="32" customFormat="false" ht="15" hidden="false" customHeight="false" outlineLevel="0" collapsed="false">
      <c r="A32" s="5" t="s">
        <v>186</v>
      </c>
      <c r="B32" s="6" t="s">
        <v>553</v>
      </c>
      <c r="C32" s="5" t="n">
        <f aca="false">COUNTIF(Eşleştirme!$D$2:$D$282,A32)</f>
        <v>1</v>
      </c>
    </row>
    <row r="33" customFormat="false" ht="23.85" hidden="false" customHeight="false" outlineLevel="0" collapsed="false">
      <c r="A33" s="5" t="s">
        <v>554</v>
      </c>
      <c r="B33" s="6" t="s">
        <v>555</v>
      </c>
      <c r="C33" s="5" t="n">
        <f aca="false">COUNTIF(Eşleştirme!$D$2:$D$282,A33)</f>
        <v>0</v>
      </c>
    </row>
    <row r="34" customFormat="false" ht="15" hidden="false" customHeight="false" outlineLevel="0" collapsed="false">
      <c r="A34" s="5" t="s">
        <v>182</v>
      </c>
      <c r="B34" s="6" t="s">
        <v>556</v>
      </c>
      <c r="C34" s="5" t="n">
        <f aca="false">COUNTIF(Eşleştirme!$D$2:$D$282,A34)</f>
        <v>2</v>
      </c>
    </row>
    <row r="35" customFormat="false" ht="23.85" hidden="false" customHeight="false" outlineLevel="0" collapsed="false">
      <c r="A35" s="5" t="s">
        <v>175</v>
      </c>
      <c r="B35" s="6" t="s">
        <v>557</v>
      </c>
      <c r="C35" s="5" t="n">
        <f aca="false">COUNTIF(Eşleştirme!$D$2:$D$282,A35)</f>
        <v>2</v>
      </c>
    </row>
    <row r="36" customFormat="false" ht="23.85" hidden="false" customHeight="false" outlineLevel="0" collapsed="false">
      <c r="A36" s="5" t="s">
        <v>179</v>
      </c>
      <c r="B36" s="6" t="s">
        <v>558</v>
      </c>
      <c r="C36" s="5" t="n">
        <f aca="false">COUNTIF(Eşleştirme!$D$2:$D$282,A36)</f>
        <v>2</v>
      </c>
    </row>
    <row r="37" customFormat="false" ht="15" hidden="false" customHeight="false" outlineLevel="0" collapsed="false">
      <c r="A37" s="5" t="s">
        <v>510</v>
      </c>
      <c r="B37" s="6" t="s">
        <v>559</v>
      </c>
      <c r="C37" s="5" t="n">
        <f aca="false">COUNTIF(Eşleştirme!$D$2:$D$282,A37)</f>
        <v>1</v>
      </c>
    </row>
    <row r="38" customFormat="false" ht="15" hidden="false" customHeight="false" outlineLevel="0" collapsed="false">
      <c r="A38" s="5" t="s">
        <v>172</v>
      </c>
      <c r="B38" s="6" t="s">
        <v>560</v>
      </c>
      <c r="C38" s="5" t="n">
        <f aca="false">COUNTIF(Eşleştirme!$D$2:$D$282,A38)</f>
        <v>1</v>
      </c>
    </row>
    <row r="39" customFormat="false" ht="23.85" hidden="false" customHeight="false" outlineLevel="0" collapsed="false">
      <c r="A39" s="5" t="s">
        <v>159</v>
      </c>
      <c r="B39" s="6" t="s">
        <v>561</v>
      </c>
      <c r="C39" s="5" t="n">
        <f aca="false">COUNTIF(Eşleştirme!$D$2:$D$282,A39)</f>
        <v>1</v>
      </c>
    </row>
    <row r="40" customFormat="false" ht="15" hidden="false" customHeight="false" outlineLevel="0" collapsed="false">
      <c r="A40" s="5" t="s">
        <v>142</v>
      </c>
      <c r="B40" s="6" t="s">
        <v>562</v>
      </c>
      <c r="C40" s="5" t="n">
        <f aca="false">COUNTIF(Eşleştirme!$D$2:$D$282,A40)</f>
        <v>1</v>
      </c>
    </row>
    <row r="41" customFormat="false" ht="15" hidden="false" customHeight="false" outlineLevel="0" collapsed="false">
      <c r="A41" s="5" t="s">
        <v>144</v>
      </c>
      <c r="B41" s="6" t="s">
        <v>563</v>
      </c>
      <c r="C41" s="5" t="n">
        <f aca="false">COUNTIF(Eşleştirme!$D$2:$D$282,A41)</f>
        <v>1</v>
      </c>
    </row>
    <row r="42" customFormat="false" ht="15" hidden="false" customHeight="false" outlineLevel="0" collapsed="false">
      <c r="A42" s="5" t="s">
        <v>146</v>
      </c>
      <c r="B42" s="6" t="s">
        <v>564</v>
      </c>
      <c r="C42" s="5" t="n">
        <f aca="false">COUNTIF(Eşleştirme!$D$2:$D$282,A42)</f>
        <v>1</v>
      </c>
    </row>
    <row r="43" customFormat="false" ht="15" hidden="false" customHeight="false" outlineLevel="0" collapsed="false">
      <c r="A43" s="5" t="s">
        <v>148</v>
      </c>
      <c r="B43" s="6" t="s">
        <v>565</v>
      </c>
      <c r="C43" s="5" t="n">
        <f aca="false">COUNTIF(Eşleştirme!$D$2:$D$282,A43)</f>
        <v>1</v>
      </c>
    </row>
    <row r="44" customFormat="false" ht="15" hidden="false" customHeight="false" outlineLevel="0" collapsed="false">
      <c r="A44" s="5" t="s">
        <v>140</v>
      </c>
      <c r="B44" s="6" t="s">
        <v>566</v>
      </c>
      <c r="C44" s="5" t="n">
        <f aca="false">COUNTIF(Eşleştirme!$D$2:$D$282,A44)</f>
        <v>1</v>
      </c>
    </row>
    <row r="45" customFormat="false" ht="15" hidden="false" customHeight="false" outlineLevel="0" collapsed="false">
      <c r="A45" s="5" t="s">
        <v>151</v>
      </c>
      <c r="B45" s="6" t="s">
        <v>567</v>
      </c>
      <c r="C45" s="5" t="n">
        <f aca="false">COUNTIF(Eşleştirme!$D$2:$D$282,A45)</f>
        <v>1</v>
      </c>
    </row>
    <row r="46" customFormat="false" ht="23.85" hidden="false" customHeight="false" outlineLevel="0" collapsed="false">
      <c r="A46" s="5" t="s">
        <v>156</v>
      </c>
      <c r="B46" s="6" t="s">
        <v>568</v>
      </c>
      <c r="C46" s="5" t="n">
        <f aca="false">COUNTIF(Eşleştirme!$D$2:$D$282,A46)</f>
        <v>2</v>
      </c>
    </row>
    <row r="47" customFormat="false" ht="15" hidden="false" customHeight="false" outlineLevel="0" collapsed="false">
      <c r="A47" s="5" t="s">
        <v>162</v>
      </c>
      <c r="B47" s="6" t="s">
        <v>569</v>
      </c>
      <c r="C47" s="5" t="n">
        <f aca="false">COUNTIF(Eşleştirme!$D$2:$D$282,A47)</f>
        <v>1</v>
      </c>
    </row>
    <row r="48" customFormat="false" ht="15" hidden="false" customHeight="false" outlineLevel="0" collapsed="false">
      <c r="A48" s="5" t="s">
        <v>570</v>
      </c>
      <c r="B48" s="6" t="s">
        <v>571</v>
      </c>
      <c r="C48" s="5" t="n">
        <f aca="false">COUNTIF(Eşleştirme!$D$2:$D$282,A48)</f>
        <v>0</v>
      </c>
    </row>
    <row r="49" customFormat="false" ht="15" hidden="false" customHeight="false" outlineLevel="0" collapsed="false">
      <c r="A49" s="5" t="s">
        <v>153</v>
      </c>
      <c r="B49" s="6" t="s">
        <v>572</v>
      </c>
      <c r="C49" s="5" t="n">
        <f aca="false">COUNTIF(Eşleştirme!$D$2:$D$282,A49)</f>
        <v>1</v>
      </c>
    </row>
    <row r="50" customFormat="false" ht="15" hidden="false" customHeight="false" outlineLevel="0" collapsed="false">
      <c r="A50" s="5" t="s">
        <v>165</v>
      </c>
      <c r="B50" s="6" t="s">
        <v>573</v>
      </c>
      <c r="C50" s="5" t="n">
        <f aca="false">COUNTIF(Eşleştirme!$D$2:$D$282,A50)</f>
        <v>7</v>
      </c>
    </row>
    <row r="51" customFormat="false" ht="15" hidden="false" customHeight="false" outlineLevel="0" collapsed="false">
      <c r="A51" s="5" t="s">
        <v>574</v>
      </c>
      <c r="B51" s="6" t="s">
        <v>575</v>
      </c>
      <c r="C51" s="5" t="n">
        <f aca="false">COUNTIF(Eşleştirme!$D$2:$D$282,A51)</f>
        <v>0</v>
      </c>
    </row>
    <row r="52" customFormat="false" ht="15" hidden="false" customHeight="false" outlineLevel="0" collapsed="false">
      <c r="A52" s="5" t="s">
        <v>74</v>
      </c>
      <c r="B52" s="6" t="s">
        <v>576</v>
      </c>
      <c r="C52" s="5" t="n">
        <f aca="false">COUNTIF(Eşleştirme!$D$2:$D$282,A52)</f>
        <v>1</v>
      </c>
    </row>
    <row r="53" customFormat="false" ht="15" hidden="false" customHeight="false" outlineLevel="0" collapsed="false">
      <c r="A53" s="5" t="s">
        <v>126</v>
      </c>
      <c r="B53" s="6" t="s">
        <v>577</v>
      </c>
      <c r="C53" s="5" t="n">
        <f aca="false">COUNTIF(Eşleştirme!$D$2:$D$282,A53)</f>
        <v>1</v>
      </c>
    </row>
    <row r="54" customFormat="false" ht="15" hidden="false" customHeight="false" outlineLevel="0" collapsed="false">
      <c r="A54" s="5" t="s">
        <v>113</v>
      </c>
      <c r="B54" s="6" t="s">
        <v>578</v>
      </c>
      <c r="C54" s="5" t="n">
        <f aca="false">COUNTIF(Eşleştirme!$D$2:$D$282,A54)</f>
        <v>3</v>
      </c>
    </row>
    <row r="55" customFormat="false" ht="15" hidden="false" customHeight="false" outlineLevel="0" collapsed="false">
      <c r="A55" s="5" t="s">
        <v>121</v>
      </c>
      <c r="B55" s="6" t="s">
        <v>579</v>
      </c>
      <c r="C55" s="5" t="n">
        <f aca="false">COUNTIF(Eşleştirme!$D$2:$D$282,A55)</f>
        <v>3</v>
      </c>
    </row>
    <row r="56" customFormat="false" ht="15" hidden="false" customHeight="false" outlineLevel="0" collapsed="false">
      <c r="A56" s="5" t="s">
        <v>200</v>
      </c>
      <c r="B56" s="6" t="s">
        <v>580</v>
      </c>
      <c r="C56" s="5" t="n">
        <f aca="false">COUNTIF(Eşleştirme!$D$2:$D$282,A56)</f>
        <v>42</v>
      </c>
    </row>
    <row r="57" customFormat="false" ht="15" hidden="false" customHeight="false" outlineLevel="0" collapsed="false">
      <c r="A57" s="5" t="s">
        <v>263</v>
      </c>
      <c r="B57" s="6" t="s">
        <v>581</v>
      </c>
      <c r="C57" s="5" t="n">
        <f aca="false">COUNTIF(Eşleştirme!$D$2:$D$282,A57)</f>
        <v>8</v>
      </c>
    </row>
    <row r="58" customFormat="false" ht="15" hidden="false" customHeight="false" outlineLevel="0" collapsed="false">
      <c r="A58" s="5" t="s">
        <v>194</v>
      </c>
      <c r="B58" s="6" t="s">
        <v>582</v>
      </c>
      <c r="C58" s="5" t="n">
        <f aca="false">COUNTIF(Eşleştirme!$D$2:$D$282,A58)</f>
        <v>2</v>
      </c>
    </row>
    <row r="59" customFormat="false" ht="15" hidden="false" customHeight="false" outlineLevel="0" collapsed="false">
      <c r="A59" s="5" t="s">
        <v>346</v>
      </c>
      <c r="B59" s="6" t="s">
        <v>583</v>
      </c>
      <c r="C59" s="5" t="n">
        <f aca="false">COUNTIF(Eşleştirme!$D$2:$D$282,A59)</f>
        <v>3</v>
      </c>
    </row>
    <row r="60" customFormat="false" ht="15" hidden="false" customHeight="false" outlineLevel="0" collapsed="false">
      <c r="A60" s="5" t="s">
        <v>584</v>
      </c>
      <c r="B60" s="6" t="s">
        <v>585</v>
      </c>
      <c r="C60" s="5" t="n">
        <f aca="false">COUNTIF(Eşleştirme!$D$2:$D$282,A60)</f>
        <v>0</v>
      </c>
    </row>
    <row r="61" customFormat="false" ht="15" hidden="false" customHeight="false" outlineLevel="0" collapsed="false">
      <c r="A61" s="5" t="s">
        <v>229</v>
      </c>
      <c r="B61" s="6" t="s">
        <v>586</v>
      </c>
      <c r="C61" s="5" t="n">
        <f aca="false">COUNTIF(Eşleştirme!$D$2:$D$282,A61)</f>
        <v>4</v>
      </c>
    </row>
    <row r="62" customFormat="false" ht="15" hidden="false" customHeight="false" outlineLevel="0" collapsed="false">
      <c r="A62" s="5" t="s">
        <v>212</v>
      </c>
      <c r="B62" s="6" t="s">
        <v>587</v>
      </c>
      <c r="C62" s="5" t="n">
        <f aca="false">COUNTIF(Eşleştirme!$D$2:$D$282,A62)</f>
        <v>2</v>
      </c>
    </row>
    <row r="63" customFormat="false" ht="15" hidden="false" customHeight="false" outlineLevel="0" collapsed="false">
      <c r="A63" s="5" t="s">
        <v>588</v>
      </c>
      <c r="B63" s="6" t="s">
        <v>589</v>
      </c>
      <c r="C63" s="5" t="n">
        <f aca="false">COUNTIF(Eşleştirme!$D$2:$D$282,A63)</f>
        <v>0</v>
      </c>
    </row>
    <row r="64" customFormat="false" ht="15" hidden="false" customHeight="false" outlineLevel="0" collapsed="false">
      <c r="A64" s="5" t="s">
        <v>208</v>
      </c>
      <c r="B64" s="6" t="s">
        <v>590</v>
      </c>
      <c r="C64" s="5" t="n">
        <f aca="false">COUNTIF(Eşleştirme!$D$2:$D$282,A64)</f>
        <v>4</v>
      </c>
    </row>
    <row r="65" customFormat="false" ht="15" hidden="false" customHeight="false" outlineLevel="0" collapsed="false">
      <c r="A65" s="5" t="s">
        <v>215</v>
      </c>
      <c r="B65" s="6" t="s">
        <v>591</v>
      </c>
      <c r="C65" s="5" t="n">
        <f aca="false">COUNTIF(Eşleştirme!$D$2:$D$282,A65)</f>
        <v>4</v>
      </c>
    </row>
    <row r="66" customFormat="false" ht="15" hidden="false" customHeight="false" outlineLevel="0" collapsed="false">
      <c r="A66" s="5" t="s">
        <v>204</v>
      </c>
      <c r="B66" s="6" t="s">
        <v>592</v>
      </c>
      <c r="C66" s="5" t="n">
        <f aca="false">COUNTIF(Eşleştirme!$D$2:$D$282,A66)</f>
        <v>2</v>
      </c>
    </row>
    <row r="67" customFormat="false" ht="15" hidden="false" customHeight="false" outlineLevel="0" collapsed="false">
      <c r="A67" s="5" t="s">
        <v>234</v>
      </c>
      <c r="B67" s="6" t="s">
        <v>593</v>
      </c>
      <c r="C67" s="5" t="n">
        <f aca="false">COUNTIF(Eşleştirme!$D$2:$D$282,A67)</f>
        <v>1</v>
      </c>
    </row>
    <row r="68" customFormat="false" ht="15" hidden="false" customHeight="false" outlineLevel="0" collapsed="false">
      <c r="A68" s="5" t="s">
        <v>594</v>
      </c>
      <c r="B68" s="6" t="s">
        <v>595</v>
      </c>
      <c r="C68" s="5" t="n">
        <f aca="false">COUNTIF(Eşleştirme!$D$2:$D$282,A68)</f>
        <v>0</v>
      </c>
    </row>
    <row r="69" customFormat="false" ht="15" hidden="false" customHeight="false" outlineLevel="0" collapsed="false">
      <c r="A69" s="5" t="s">
        <v>342</v>
      </c>
      <c r="B69" s="6" t="s">
        <v>596</v>
      </c>
      <c r="C69" s="5" t="n">
        <f aca="false">COUNTIF(Eşleştirme!$D$2:$D$282,A69)</f>
        <v>1</v>
      </c>
    </row>
    <row r="70" customFormat="false" ht="15" hidden="false" customHeight="false" outlineLevel="0" collapsed="false">
      <c r="A70" s="5" t="s">
        <v>350</v>
      </c>
      <c r="B70" s="6" t="s">
        <v>597</v>
      </c>
      <c r="C70" s="5" t="n">
        <f aca="false">COUNTIF(Eşleştirme!$D$2:$D$282,A70)</f>
        <v>1</v>
      </c>
    </row>
    <row r="71" customFormat="false" ht="15" hidden="false" customHeight="false" outlineLevel="0" collapsed="false">
      <c r="A71" s="5" t="s">
        <v>358</v>
      </c>
      <c r="B71" s="6" t="s">
        <v>598</v>
      </c>
      <c r="C71" s="5" t="n">
        <f aca="false">COUNTIF(Eşleştirme!$D$2:$D$282,A71)</f>
        <v>2</v>
      </c>
    </row>
    <row r="72" customFormat="false" ht="15" hidden="false" customHeight="false" outlineLevel="0" collapsed="false">
      <c r="A72" s="5" t="s">
        <v>440</v>
      </c>
      <c r="B72" s="6" t="s">
        <v>599</v>
      </c>
      <c r="C72" s="5" t="n">
        <f aca="false">COUNTIF(Eşleştirme!$D$2:$D$282,A72)</f>
        <v>1</v>
      </c>
    </row>
    <row r="73" customFormat="false" ht="15" hidden="false" customHeight="false" outlineLevel="0" collapsed="false">
      <c r="A73" s="5" t="s">
        <v>361</v>
      </c>
      <c r="B73" s="6" t="s">
        <v>600</v>
      </c>
      <c r="C73" s="5" t="n">
        <f aca="false">COUNTIF(Eşleştirme!$D$2:$D$282,A73)</f>
        <v>1</v>
      </c>
    </row>
    <row r="74" customFormat="false" ht="15" hidden="false" customHeight="false" outlineLevel="0" collapsed="false">
      <c r="A74" s="5" t="s">
        <v>366</v>
      </c>
      <c r="B74" s="6" t="s">
        <v>601</v>
      </c>
      <c r="C74" s="5" t="n">
        <f aca="false">COUNTIF(Eşleştirme!$D$2:$D$282,A74)</f>
        <v>1</v>
      </c>
    </row>
    <row r="75" customFormat="false" ht="15" hidden="false" customHeight="false" outlineLevel="0" collapsed="false">
      <c r="A75" s="5" t="s">
        <v>259</v>
      </c>
      <c r="B75" s="6" t="s">
        <v>602</v>
      </c>
      <c r="C75" s="5" t="n">
        <f aca="false">COUNTIF(Eşleştirme!$D$2:$D$282,A75)</f>
        <v>15</v>
      </c>
    </row>
    <row r="76" customFormat="false" ht="15" hidden="false" customHeight="false" outlineLevel="0" collapsed="false">
      <c r="A76" s="5" t="s">
        <v>386</v>
      </c>
      <c r="B76" s="6" t="s">
        <v>603</v>
      </c>
      <c r="C76" s="5" t="n">
        <f aca="false">COUNTIF(Eşleştirme!$D$2:$D$282,A76)</f>
        <v>4</v>
      </c>
    </row>
    <row r="77" customFormat="false" ht="15" hidden="false" customHeight="false" outlineLevel="0" collapsed="false">
      <c r="A77" s="5" t="s">
        <v>375</v>
      </c>
      <c r="B77" s="6" t="s">
        <v>604</v>
      </c>
      <c r="C77" s="5" t="n">
        <f aca="false">COUNTIF(Eşleştirme!$D$2:$D$282,A77)</f>
        <v>2</v>
      </c>
    </row>
    <row r="78" customFormat="false" ht="15" hidden="false" customHeight="false" outlineLevel="0" collapsed="false">
      <c r="A78" s="5" t="s">
        <v>245</v>
      </c>
      <c r="B78" s="6" t="s">
        <v>605</v>
      </c>
      <c r="C78" s="5" t="n">
        <f aca="false">COUNTIF(Eşleştirme!$D$2:$D$282,A78)</f>
        <v>38</v>
      </c>
    </row>
    <row r="79" customFormat="false" ht="15" hidden="false" customHeight="false" outlineLevel="0" collapsed="false">
      <c r="A79" s="5" t="s">
        <v>418</v>
      </c>
      <c r="B79" s="6" t="s">
        <v>606</v>
      </c>
      <c r="C79" s="5" t="n">
        <f aca="false">COUNTIF(Eşleştirme!$D$2:$D$282,A79)</f>
        <v>11</v>
      </c>
    </row>
    <row r="80" customFormat="false" ht="15" hidden="false" customHeight="false" outlineLevel="0" collapsed="false">
      <c r="A80" s="5" t="s">
        <v>397</v>
      </c>
      <c r="B80" s="6" t="s">
        <v>607</v>
      </c>
      <c r="C80" s="5" t="n">
        <f aca="false">COUNTIF(Eşleştirme!$D$2:$D$282,A80)</f>
        <v>15</v>
      </c>
    </row>
    <row r="81" customFormat="false" ht="15" hidden="false" customHeight="false" outlineLevel="0" collapsed="false">
      <c r="A81" s="5" t="s">
        <v>452</v>
      </c>
      <c r="B81" s="6" t="s">
        <v>608</v>
      </c>
      <c r="C81" s="5" t="n">
        <f aca="false">COUNTIF(Eşleştirme!$D$2:$D$282,A81)</f>
        <v>9</v>
      </c>
    </row>
    <row r="82" customFormat="false" ht="15" hidden="false" customHeight="false" outlineLevel="0" collapsed="false">
      <c r="A82" s="5" t="s">
        <v>459</v>
      </c>
      <c r="B82" s="6" t="s">
        <v>609</v>
      </c>
      <c r="C82" s="5" t="n">
        <f aca="false">COUNTIF(Eşleştirme!$D$2:$D$282,A82)</f>
        <v>5</v>
      </c>
    </row>
    <row r="83" customFormat="false" ht="15" hidden="false" customHeight="false" outlineLevel="0" collapsed="false">
      <c r="A83" s="5" t="s">
        <v>238</v>
      </c>
      <c r="B83" s="6" t="s">
        <v>610</v>
      </c>
      <c r="C83" s="5" t="n">
        <f aca="false">COUNTIF(Eşleştirme!$D$2:$D$282,A83)</f>
        <v>20</v>
      </c>
    </row>
    <row r="84" customFormat="false" ht="15" hidden="false" customHeight="false" outlineLevel="0" collapsed="false">
      <c r="A84" s="5" t="s">
        <v>337</v>
      </c>
      <c r="B84" s="6" t="s">
        <v>611</v>
      </c>
      <c r="C84" s="5" t="n">
        <f aca="false">COUNTIF(Eşleştirme!$D$2:$D$282,A84)</f>
        <v>2</v>
      </c>
    </row>
    <row r="85" customFormat="false" ht="15" hidden="false" customHeight="false" outlineLevel="0" collapsed="false">
      <c r="A85" s="5" t="s">
        <v>502</v>
      </c>
      <c r="B85" s="6" t="s">
        <v>612</v>
      </c>
      <c r="C85" s="5" t="n">
        <f aca="false">COUNTIF(Eşleştirme!$D$2:$D$282,A85)</f>
        <v>1</v>
      </c>
    </row>
    <row r="86" customFormat="false" ht="15" hidden="false" customHeight="false" outlineLevel="0" collapsed="false">
      <c r="A86" s="5" t="s">
        <v>613</v>
      </c>
      <c r="B86" s="6" t="s">
        <v>614</v>
      </c>
      <c r="C86" s="5" t="n">
        <f aca="false">COUNTIF(Eşleştirme!$D$2:$D$282,A86)</f>
        <v>0</v>
      </c>
    </row>
    <row r="88" customFormat="false" ht="15" hidden="false" customHeight="false" outlineLevel="0" collapsed="false">
      <c r="A88" s="8" t="s">
        <v>615</v>
      </c>
    </row>
  </sheetData>
  <autoFilter ref="A1:C8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2026-10-08T09:23:44Z</dcterms:created>
  <dc:creator>openpyxl</dc:creator>
  <dc:description/>
  <dc:language>en-US</dc:language>
  <cp:lastModifiedBy/>
  <dcterms:modified xsi:type="dcterms:W3CDTF">2026-10-08T09:23:44Z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